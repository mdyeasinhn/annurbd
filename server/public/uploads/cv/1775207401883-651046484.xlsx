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45" windowHeight="12180" activeTab="6"/>
  </bookViews>
  <sheets>
    <sheet name="list" sheetId="6" r:id="rId1"/>
    <sheet name="reason" sheetId="5" r:id="rId2"/>
    <sheet name="app. form example" sheetId="3" r:id="rId3"/>
    <sheet name="fee" sheetId="8" r:id="rId4"/>
    <sheet name="regular plan" sheetId="10" r:id="rId5"/>
    <sheet name="installment plan" sheetId="9" r:id="rId6"/>
    <sheet name="app. form" sheetId="7" r:id="rId7"/>
    <sheet name="sponsor" sheetId="4" r:id="rId8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9" l="1"/>
  <c r="I40" i="9"/>
  <c r="E40" i="9"/>
  <c r="M39" i="9"/>
  <c r="I39" i="9"/>
  <c r="E39" i="9"/>
  <c r="M38" i="9"/>
  <c r="M37" i="9"/>
  <c r="M30" i="9"/>
  <c r="I30" i="9"/>
  <c r="E30" i="9"/>
  <c r="M29" i="9"/>
  <c r="I29" i="9"/>
  <c r="E29" i="9"/>
  <c r="Q20" i="9"/>
  <c r="M20" i="9"/>
  <c r="I20" i="9"/>
  <c r="E20" i="9"/>
  <c r="Q19" i="9"/>
  <c r="M19" i="9"/>
  <c r="I19" i="9"/>
  <c r="E19" i="9"/>
  <c r="Q18" i="9"/>
  <c r="Q17" i="9"/>
  <c r="Q10" i="9"/>
  <c r="M10" i="9"/>
  <c r="I10" i="9"/>
  <c r="E10" i="9"/>
  <c r="Q9" i="9"/>
  <c r="M9" i="9"/>
  <c r="I9" i="9"/>
  <c r="E9" i="9"/>
  <c r="I40" i="10"/>
  <c r="E40" i="10"/>
  <c r="I39" i="10"/>
  <c r="E39" i="10"/>
  <c r="I38" i="10"/>
  <c r="E38" i="10"/>
  <c r="I37" i="10"/>
  <c r="E37" i="10"/>
  <c r="M35" i="10"/>
  <c r="I30" i="10"/>
  <c r="E30" i="10"/>
  <c r="I29" i="10"/>
  <c r="E29" i="10"/>
  <c r="I28" i="10"/>
  <c r="E28" i="10"/>
  <c r="I27" i="10"/>
  <c r="E27" i="10"/>
  <c r="M25" i="10"/>
  <c r="M20" i="10"/>
  <c r="I20" i="10"/>
  <c r="E20" i="10"/>
  <c r="M19" i="10"/>
  <c r="I19" i="10"/>
  <c r="E19" i="10"/>
  <c r="M18" i="10"/>
  <c r="I18" i="10"/>
  <c r="E18" i="10"/>
  <c r="M17" i="10"/>
  <c r="I17" i="10"/>
  <c r="E17" i="10"/>
  <c r="Q15" i="10"/>
  <c r="M10" i="10"/>
  <c r="I10" i="10"/>
  <c r="E10" i="10"/>
  <c r="M9" i="10"/>
  <c r="I9" i="10"/>
  <c r="E9" i="10"/>
  <c r="M8" i="10"/>
  <c r="I8" i="10"/>
  <c r="E8" i="10"/>
  <c r="M7" i="10"/>
  <c r="I7" i="10"/>
  <c r="E7" i="10"/>
  <c r="Q5" i="10"/>
  <c r="I40" i="8"/>
  <c r="E40" i="8"/>
  <c r="I39" i="8"/>
  <c r="E39" i="8"/>
  <c r="I38" i="8"/>
  <c r="E38" i="8"/>
  <c r="I37" i="8"/>
  <c r="E37" i="8"/>
  <c r="M35" i="8"/>
  <c r="I30" i="8"/>
  <c r="E30" i="8"/>
  <c r="I29" i="8"/>
  <c r="E29" i="8"/>
  <c r="I28" i="8"/>
  <c r="E28" i="8"/>
  <c r="I27" i="8"/>
  <c r="E27" i="8"/>
  <c r="M25" i="8"/>
  <c r="I20" i="8"/>
  <c r="E20" i="8"/>
  <c r="I19" i="8"/>
  <c r="E19" i="8"/>
  <c r="I18" i="8"/>
  <c r="E18" i="8"/>
  <c r="I17" i="8"/>
  <c r="E17" i="8"/>
  <c r="M15" i="8"/>
  <c r="I10" i="8"/>
  <c r="E10" i="8"/>
  <c r="I9" i="8"/>
  <c r="E9" i="8"/>
  <c r="I8" i="8"/>
  <c r="E8" i="8"/>
  <c r="I7" i="8"/>
  <c r="E7" i="8"/>
  <c r="M5" i="8"/>
</calcChain>
</file>

<file path=xl/sharedStrings.xml><?xml version="1.0" encoding="utf-8"?>
<sst xmlns="http://schemas.openxmlformats.org/spreadsheetml/2006/main" count="838" uniqueCount="293">
  <si>
    <t>REQUIRED DOCUMENTS</t>
  </si>
  <si>
    <t>APPLICANT'S</t>
  </si>
  <si>
    <t>M</t>
  </si>
  <si>
    <r>
      <rPr>
        <sz val="9"/>
        <rFont val="Century"/>
        <family val="1"/>
      </rPr>
      <t>STUDENT</t>
    </r>
    <r>
      <rPr>
        <sz val="9"/>
        <rFont val="ＭＳ Ｐ明朝"/>
        <charset val="128"/>
      </rPr>
      <t>（</t>
    </r>
    <r>
      <rPr>
        <sz val="9"/>
        <rFont val="Century"/>
        <family val="1"/>
      </rPr>
      <t>Graduated/Enrolled)</t>
    </r>
  </si>
  <si>
    <t>JAPANESE SCHOOL</t>
  </si>
  <si>
    <t>Completed  Enrolled</t>
  </si>
  <si>
    <t>NAME</t>
  </si>
  <si>
    <t>F</t>
  </si>
  <si>
    <t>EMPLOYED</t>
  </si>
  <si>
    <t>SPONSOR</t>
  </si>
  <si>
    <t>Father / Mother / Other(                      )</t>
  </si>
  <si>
    <r>
      <rPr>
        <sz val="9"/>
        <rFont val="Century"/>
        <family val="1"/>
      </rPr>
      <t xml:space="preserve">  Employed / Executive / Self-employed / Other </t>
    </r>
    <r>
      <rPr>
        <sz val="9"/>
        <rFont val="ＭＳ Ｐ明朝"/>
        <charset val="128"/>
      </rPr>
      <t>（</t>
    </r>
    <r>
      <rPr>
        <sz val="9"/>
        <rFont val="Century"/>
        <family val="1"/>
      </rPr>
      <t xml:space="preserve">    </t>
    </r>
    <r>
      <rPr>
        <sz val="9"/>
        <rFont val="ＭＳ Ｐ明朝"/>
        <charset val="128"/>
      </rPr>
      <t>　　　　）</t>
    </r>
  </si>
  <si>
    <r>
      <rPr>
        <sz val="10"/>
        <rFont val="Century"/>
        <family val="1"/>
      </rPr>
      <t>Mark "</t>
    </r>
    <r>
      <rPr>
        <sz val="10"/>
        <rFont val="ＭＳ Ｐ明朝"/>
        <charset val="128"/>
      </rPr>
      <t>○</t>
    </r>
    <r>
      <rPr>
        <sz val="10"/>
        <rFont val="Century"/>
        <family val="1"/>
      </rPr>
      <t>" to the documents you have prepared.</t>
    </r>
  </si>
  <si>
    <t>Mark "×" to the documents you can not or don't have to turn in.</t>
  </si>
  <si>
    <r>
      <rPr>
        <sz val="10"/>
        <rFont val="Century"/>
        <family val="1"/>
      </rPr>
      <t>Mark "</t>
    </r>
    <r>
      <rPr>
        <sz val="10"/>
        <rFont val="ＭＳ Ｐ明朝"/>
        <charset val="128"/>
      </rPr>
      <t>△</t>
    </r>
    <r>
      <rPr>
        <sz val="10"/>
        <rFont val="Century"/>
        <family val="1"/>
      </rPr>
      <t>" to the documents you intend to turn in later.</t>
    </r>
  </si>
  <si>
    <t>If you have any documents other than listed below, please describe in the "OTHERS" colomn.</t>
  </si>
  <si>
    <t>DOCUMENTS</t>
  </si>
  <si>
    <t>Original/Copy</t>
  </si>
  <si>
    <t>Translation</t>
  </si>
  <si>
    <t>Remarks</t>
  </si>
  <si>
    <t>OBLIGATORY</t>
  </si>
  <si>
    <t>APPLICANT</t>
  </si>
  <si>
    <r>
      <rPr>
        <sz val="9"/>
        <rFont val="Century"/>
        <family val="1"/>
      </rPr>
      <t xml:space="preserve">6 Photos </t>
    </r>
    <r>
      <rPr>
        <sz val="9"/>
        <rFont val="ＭＳ Ｐ明朝"/>
        <charset val="128"/>
      </rPr>
      <t>（</t>
    </r>
    <r>
      <rPr>
        <sz val="9"/>
        <rFont val="Century"/>
        <family val="1"/>
      </rPr>
      <t>length 4cm×width 3</t>
    </r>
    <r>
      <rPr>
        <sz val="9"/>
        <rFont val="ＭＳ Ｐ明朝"/>
        <charset val="128"/>
      </rPr>
      <t>ｃｍ</t>
    </r>
    <r>
      <rPr>
        <sz val="9"/>
        <rFont val="Century"/>
        <family val="1"/>
      </rPr>
      <t>. Name and Date of Birth be written on the back.</t>
    </r>
    <r>
      <rPr>
        <sz val="9"/>
        <rFont val="ＭＳ Ｐ明朝"/>
        <charset val="128"/>
      </rPr>
      <t>）</t>
    </r>
  </si>
  <si>
    <t>×</t>
  </si>
  <si>
    <t>Copy of Passport</t>
  </si>
  <si>
    <t>Application Form</t>
  </si>
  <si>
    <t>Reason for Studying Japanese in Japan</t>
  </si>
  <si>
    <t>Graduate Diploma</t>
  </si>
  <si>
    <t>Certificate of Enrollment or Certificate of Possible Graduate</t>
  </si>
  <si>
    <t>VJEEC Credentials Report of the final academic record(Vietnam)</t>
  </si>
  <si>
    <t>SLC Certificate(Nepal)</t>
  </si>
  <si>
    <t>Certificate of Grade for the final education period</t>
  </si>
  <si>
    <t>Examination Voucher of JLPT(N5 or over) or NAT (Level 5 or over) or J-Test (Level F or over)</t>
  </si>
  <si>
    <t>Certificate of JLPT(N5 or over) or NAT (Level 5 or over) or J-Test (Level F or over)</t>
  </si>
  <si>
    <t>Certificate of Employment</t>
  </si>
  <si>
    <t>Certificate of Studying Japanese (More than 150 hours)</t>
  </si>
  <si>
    <t>Certificate of Family Register</t>
  </si>
  <si>
    <t>Copy of Identification by the Authority (Applicant)</t>
  </si>
  <si>
    <t>Statement of Sponsorship</t>
  </si>
  <si>
    <t>Certificate of Balance (VND or NRS or US$)</t>
  </si>
  <si>
    <t>Color Copy of Passbook or Certificate of Bank Transaction (past 3 years)</t>
  </si>
  <si>
    <t>Explanation of Fund Raising</t>
  </si>
  <si>
    <t>Certificate of Business Register (in case of a company executive)</t>
  </si>
  <si>
    <t>Certificate of Business Owner (in case of self-employed or a company owner)</t>
  </si>
  <si>
    <t>Copy of Land Rent or House Rent Contract (if renting lands or houses)</t>
  </si>
  <si>
    <t>Copy of Land Owner or House Owner certificate (if renting lands or houses)</t>
  </si>
  <si>
    <t>Certificate of Land Register (if farming)</t>
  </si>
  <si>
    <t>Certificate of Taxation to testify annual income</t>
  </si>
  <si>
    <t>Documents to testify annual income(If  cannot be issued.)</t>
  </si>
  <si>
    <t>Official Evidence of Family Structure</t>
  </si>
  <si>
    <t>Certificate of  Resident Registration (If seperated)</t>
  </si>
  <si>
    <t>Copy of Identification by the Authority (Sponsor)</t>
  </si>
  <si>
    <t>OTHERS</t>
  </si>
  <si>
    <t>Any documents must be accompanied with translations in English or in Japanese.</t>
  </si>
  <si>
    <t>ASIAN ACADEMY</t>
  </si>
  <si>
    <t>REASON OF STUDYING JAPANESE IN JAPAN</t>
  </si>
  <si>
    <t>アジア学院       ASIAN ACADEMY</t>
  </si>
  <si>
    <t>DATE</t>
  </si>
  <si>
    <t>SIGNATURE</t>
  </si>
  <si>
    <t>APPLICATION FORM</t>
  </si>
  <si>
    <t>SURNAME</t>
  </si>
  <si>
    <t>GIVEN NAME</t>
  </si>
  <si>
    <t>NATIONALITY</t>
  </si>
  <si>
    <t>DATE OF BIRTH</t>
  </si>
  <si>
    <t>GENDER</t>
  </si>
  <si>
    <t>PHOTO</t>
  </si>
  <si>
    <t>(Y)</t>
  </si>
  <si>
    <t>/(M)</t>
  </si>
  <si>
    <t>/(D)</t>
  </si>
  <si>
    <t>MALE FEMALE</t>
  </si>
  <si>
    <t>HOME COUNTRY</t>
  </si>
  <si>
    <t>REGISTERED ADDRESS</t>
  </si>
  <si>
    <t>4cm ×　3cm</t>
  </si>
  <si>
    <t>ACTUAL ADDRESS</t>
  </si>
  <si>
    <t>　sam as above /</t>
  </si>
  <si>
    <t>HOME PHONE NUMBER / NONE</t>
  </si>
  <si>
    <t>MOBILE PHONE NUMBER</t>
  </si>
  <si>
    <t>SPONSOR AND FAMILY (Describe up to the second degree of kinship including "separated" or "divorced".</t>
  </si>
  <si>
    <t>RELATION</t>
  </si>
  <si>
    <t>ADDRESS</t>
  </si>
  <si>
    <t>OCCUPATION/REMARK</t>
  </si>
  <si>
    <t>ACTUAL ADDRESS / SAME AS ABOVE</t>
  </si>
  <si>
    <t>ACADEMIC RECORD  (FROM PRIMARY SCHOOL TO THE FINAL RECORD)</t>
  </si>
  <si>
    <t>NAME OF SHOOL &amp; ADDRESS</t>
  </si>
  <si>
    <t>DATE OF ADMISSION</t>
  </si>
  <si>
    <t>DATE OF GRADUATION</t>
  </si>
  <si>
    <t>PERIOD</t>
  </si>
  <si>
    <r>
      <rPr>
        <sz val="6"/>
        <rFont val="ＭＳ Ｐゴシック"/>
        <charset val="128"/>
      </rPr>
      <t xml:space="preserve">(Y)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</t>
    </r>
  </si>
  <si>
    <t>YEARS</t>
  </si>
  <si>
    <t>JOB CAREER</t>
  </si>
  <si>
    <t>NONE</t>
  </si>
  <si>
    <t>TYPE OF JOB</t>
  </si>
  <si>
    <r>
      <rPr>
        <sz val="6"/>
        <rFont val="ＭＳ Ｐゴシック"/>
        <charset val="128"/>
      </rPr>
      <t xml:space="preserve">(Y)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　　　　　～</t>
    </r>
  </si>
  <si>
    <r>
      <rPr>
        <sz val="6"/>
        <rFont val="ＭＳ Ｐゴシック"/>
        <charset val="128"/>
      </rPr>
      <t xml:space="preserve">(Y)    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</t>
    </r>
  </si>
  <si>
    <t xml:space="preserve">RECORD OF JAPANESE LANGUAGE LEARNING </t>
  </si>
  <si>
    <t>TOTAL HOURS</t>
  </si>
  <si>
    <t>YEARS  MONTHS</t>
  </si>
  <si>
    <t>HOURS</t>
  </si>
  <si>
    <t>PLAN AFTER GRADUATION</t>
  </si>
  <si>
    <t>GRADUATE SCHOOL</t>
  </si>
  <si>
    <t>UNIVERSITY</t>
  </si>
  <si>
    <t>TECHNICAL COLLEGE</t>
  </si>
  <si>
    <t>OTHER</t>
  </si>
  <si>
    <t>UNDECIDED</t>
  </si>
  <si>
    <t>RETURN TO HOME COUNTRY</t>
  </si>
  <si>
    <t>INTENDED UNIVERSITY</t>
  </si>
  <si>
    <t>INTENDED MAJOR SUBJECT</t>
  </si>
  <si>
    <t>I HEREBY DECLARE THAT EVERYTHING STATED ABOVE IS CORRECT.</t>
  </si>
  <si>
    <t>APPLICATION FORM　　2</t>
  </si>
  <si>
    <t>願書　　2</t>
  </si>
  <si>
    <t>PLACE OF BIRTH</t>
  </si>
  <si>
    <t>PASSPORT</t>
  </si>
  <si>
    <t>PASSPORT NUMBER</t>
  </si>
  <si>
    <t>EXPIRATION DATE</t>
  </si>
  <si>
    <r>
      <rPr>
        <sz val="8"/>
        <rFont val="ＭＳ Ｐゴシック"/>
        <charset val="128"/>
      </rPr>
      <t xml:space="preserve">(Y)                 </t>
    </r>
    <r>
      <rPr>
        <sz val="18"/>
        <rFont val="ＭＳ Ｐゴシック"/>
        <charset val="128"/>
      </rPr>
      <t>/</t>
    </r>
    <r>
      <rPr>
        <sz val="8"/>
        <rFont val="ＭＳ Ｐゴシック"/>
        <charset val="128"/>
      </rPr>
      <t xml:space="preserve">(M)                </t>
    </r>
    <r>
      <rPr>
        <sz val="18"/>
        <rFont val="ＭＳ Ｐゴシック"/>
        <charset val="128"/>
      </rPr>
      <t>/</t>
    </r>
    <r>
      <rPr>
        <sz val="8"/>
        <rFont val="ＭＳ Ｐゴシック"/>
        <charset val="128"/>
      </rPr>
      <t>(D)</t>
    </r>
  </si>
  <si>
    <t>INTENDED PLACE OF VISA ISSUED</t>
  </si>
  <si>
    <t>INTENDED DATE OF ENTRY</t>
  </si>
  <si>
    <t>(Y)                        /(M)                  /(D)</t>
  </si>
  <si>
    <t>◆ EXAMINATION RESULT OF JAPANESE COMPETENCY</t>
  </si>
  <si>
    <t>NAT</t>
  </si>
  <si>
    <t>EXAMINEE'S NUMBER</t>
  </si>
  <si>
    <t xml:space="preserve">CLASS  </t>
  </si>
  <si>
    <t>SCORE</t>
  </si>
  <si>
    <t>RESULT</t>
  </si>
  <si>
    <t>PASSED  /  FAILED  /  Waiting for Result</t>
  </si>
  <si>
    <t>JLPT</t>
  </si>
  <si>
    <t>N</t>
  </si>
  <si>
    <t>EXAM TO PARTICIPATE</t>
  </si>
  <si>
    <t>NAT  (Year)                     / (Month)                     JLPT  (Year)                      / (Month)</t>
  </si>
  <si>
    <t>◆ SPONSOR ( How and how much will the sponsor support the applicant?  Column ① &amp; ② must be flilled in.</t>
  </si>
  <si>
    <t>Home Phone Number</t>
  </si>
  <si>
    <t>ANNUAL INCOME</t>
  </si>
  <si>
    <t>NRS / US$</t>
  </si>
  <si>
    <t>RELATION TO THE APPLICANT</t>
  </si>
  <si>
    <t>same as above /</t>
  </si>
  <si>
    <t>NAME OF COMPANY</t>
  </si>
  <si>
    <t>TITLE</t>
  </si>
  <si>
    <t>ADDRESS OF COMPANY</t>
  </si>
  <si>
    <t>COMPANY PHONE NUMBER</t>
  </si>
  <si>
    <t>① Remmittance from your country</t>
  </si>
  <si>
    <t>② The amount the applicant brings in on arrival</t>
  </si>
  <si>
    <t xml:space="preserve"> NRS / US$ / JP\</t>
  </si>
  <si>
    <t>※Remmittance from the sponsor in Japan</t>
  </si>
  <si>
    <t>◆ FAMILY MENBERS IN JAPAN (If Any)</t>
  </si>
  <si>
    <t>RELATIVES IN JAPAN</t>
  </si>
  <si>
    <t>PLAN TO LIVE WITH?</t>
  </si>
  <si>
    <t>COMPANY / SCHOOL</t>
  </si>
  <si>
    <t>REGISTRATION NUMBER</t>
  </si>
  <si>
    <r>
      <rPr>
        <sz val="6"/>
        <rFont val="ＭＳ Ｐゴシック"/>
        <charset val="128"/>
      </rPr>
      <t xml:space="preserve">(Y)   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</t>
    </r>
  </si>
  <si>
    <t>YES / NO</t>
  </si>
  <si>
    <t>HAVE YOU VISITED JAPAN BEFORE?      NO.    YES.     (IF "YES", DESCRIBE BELOW.)</t>
  </si>
  <si>
    <t>DATE OF ENTRY</t>
  </si>
  <si>
    <t>DATE OF DEPARTURE</t>
  </si>
  <si>
    <t>STATUS OF VISA</t>
  </si>
  <si>
    <t>PURPOSE OF ENTRY</t>
  </si>
  <si>
    <r>
      <rPr>
        <sz val="8"/>
        <rFont val="ＭＳ Ｐゴシック"/>
        <charset val="128"/>
      </rPr>
      <t xml:space="preserve">(Y)            </t>
    </r>
    <r>
      <rPr>
        <sz val="16"/>
        <rFont val="ＭＳ Ｐゴシック"/>
        <charset val="128"/>
      </rPr>
      <t>/</t>
    </r>
    <r>
      <rPr>
        <sz val="8"/>
        <rFont val="ＭＳ Ｐゴシック"/>
        <charset val="128"/>
      </rPr>
      <t xml:space="preserve">(M)          </t>
    </r>
    <r>
      <rPr>
        <sz val="16"/>
        <rFont val="ＭＳ Ｐゴシック"/>
        <charset val="128"/>
      </rPr>
      <t xml:space="preserve"> /</t>
    </r>
    <r>
      <rPr>
        <sz val="8"/>
        <rFont val="ＭＳ Ｐゴシック"/>
        <charset val="128"/>
      </rPr>
      <t>(D)</t>
    </r>
  </si>
  <si>
    <t>EXPENSES</t>
  </si>
  <si>
    <r>
      <rPr>
        <b/>
        <sz val="12"/>
        <rFont val="ＭＳ Ｐゴシック"/>
        <charset val="128"/>
      </rPr>
      <t>◆</t>
    </r>
    <r>
      <rPr>
        <b/>
        <sz val="12"/>
        <rFont val="Century"/>
        <family val="1"/>
      </rPr>
      <t>College Preparatory 2 year Course (Starting in April)</t>
    </r>
  </si>
  <si>
    <t>2022.9.1</t>
  </si>
  <si>
    <t>fee</t>
  </si>
  <si>
    <t>The Initial Installment</t>
  </si>
  <si>
    <t>The Second Installment  (the following March)</t>
  </si>
  <si>
    <t>GRAND TOTAL</t>
  </si>
  <si>
    <t>Admission Fee</t>
  </si>
  <si>
    <r>
      <rPr>
        <sz val="11"/>
        <rFont val="ＭＳ Ｐ明朝"/>
        <charset val="128"/>
      </rPr>
      <t>￥</t>
    </r>
  </si>
  <si>
    <t>Examination Fee</t>
  </si>
  <si>
    <t>Tuition</t>
  </si>
  <si>
    <t>Miscellaneous Fee</t>
  </si>
  <si>
    <t>Consumption Tax(10%)</t>
  </si>
  <si>
    <t>SUB TOTAL</t>
  </si>
  <si>
    <r>
      <rPr>
        <b/>
        <sz val="12"/>
        <rFont val="ＭＳ Ｐゴシック"/>
        <charset val="128"/>
      </rPr>
      <t>◆</t>
    </r>
    <r>
      <rPr>
        <b/>
        <sz val="12"/>
        <rFont val="Century"/>
        <family val="1"/>
      </rPr>
      <t>College Preparatory 1.9 year Course (Starting in July)</t>
    </r>
  </si>
  <si>
    <t>The Second Installment  (the following June)</t>
  </si>
  <si>
    <r>
      <rPr>
        <b/>
        <sz val="12"/>
        <rFont val="ＭＳ Ｐゴシック"/>
        <charset val="128"/>
      </rPr>
      <t>◆</t>
    </r>
    <r>
      <rPr>
        <b/>
        <sz val="12"/>
        <rFont val="Century"/>
        <family val="1"/>
      </rPr>
      <t>College Preparatory 1.5 year Course (Starting in October)</t>
    </r>
  </si>
  <si>
    <t>The Second Installment  (the following September)</t>
  </si>
  <si>
    <r>
      <rPr>
        <b/>
        <sz val="12"/>
        <rFont val="ＭＳ Ｐゴシック"/>
        <charset val="128"/>
      </rPr>
      <t>◆</t>
    </r>
    <r>
      <rPr>
        <b/>
        <sz val="12"/>
        <rFont val="Century"/>
        <family val="1"/>
      </rPr>
      <t>College Preparatory 1.3 year Course (Starting in January)</t>
    </r>
  </si>
  <si>
    <t>The Second Installment  (the following December)</t>
  </si>
  <si>
    <t>ASIAN  ACADEMY</t>
  </si>
  <si>
    <t>THE INITIAL PAYMENT</t>
  </si>
  <si>
    <t xml:space="preserve">TUITION </t>
  </si>
  <si>
    <t>JPY 800,000</t>
  </si>
  <si>
    <t>CONSUMPTION TAX(10%)</t>
  </si>
  <si>
    <t>JPY   80,000</t>
  </si>
  <si>
    <t>INSURANCE FOR ACCIDENT</t>
  </si>
  <si>
    <t>JPY  10,000</t>
  </si>
  <si>
    <t>( 1 Year)</t>
  </si>
  <si>
    <t>BANK FEE</t>
  </si>
  <si>
    <r>
      <rPr>
        <sz val="14"/>
        <rFont val="Century"/>
        <family val="1"/>
      </rPr>
      <t>JPY</t>
    </r>
    <r>
      <rPr>
        <sz val="14"/>
        <rFont val="ＭＳ Ｐ明朝"/>
        <charset val="128"/>
      </rPr>
      <t>　</t>
    </r>
    <r>
      <rPr>
        <sz val="14"/>
        <rFont val="Century"/>
        <family val="1"/>
      </rPr>
      <t xml:space="preserve"> 5,000</t>
    </r>
  </si>
  <si>
    <r>
      <rPr>
        <sz val="18"/>
        <rFont val="Century"/>
        <family val="1"/>
      </rPr>
      <t xml:space="preserve">GRAND TOTAL
</t>
    </r>
    <r>
      <rPr>
        <sz val="14"/>
        <rFont val="Century"/>
        <family val="1"/>
      </rPr>
      <t>(NO HOSTEL)</t>
    </r>
  </si>
  <si>
    <t>JPY  895,000</t>
  </si>
  <si>
    <t>HOSTEL</t>
  </si>
  <si>
    <t>JPY 141,500</t>
  </si>
  <si>
    <t>Handling Charge</t>
  </si>
  <si>
    <t>JPY  50,000</t>
  </si>
  <si>
    <t xml:space="preserve">3 month rent      </t>
  </si>
  <si>
    <t>JPY  90,000</t>
  </si>
  <si>
    <t>Hostel Miscellaneous</t>
  </si>
  <si>
    <t>JPY    1,500</t>
  </si>
  <si>
    <r>
      <rPr>
        <sz val="18"/>
        <rFont val="Century"/>
        <family val="1"/>
      </rPr>
      <t xml:space="preserve">GRAND TOTAL
</t>
    </r>
    <r>
      <rPr>
        <sz val="12"/>
        <rFont val="Century"/>
        <family val="1"/>
      </rPr>
      <t>(WITH HOSTEL)</t>
    </r>
  </si>
  <si>
    <t>JPY  1,036,500</t>
  </si>
  <si>
    <t>In case of cancellation after COE is issued, 
the initial 6 month school fee and tax are charged.</t>
  </si>
  <si>
    <t>On Admission</t>
  </si>
  <si>
    <t>March          (2nd Year)</t>
  </si>
  <si>
    <t>September    (2nd Year)</t>
  </si>
  <si>
    <t>￥</t>
  </si>
  <si>
    <t>June             (2nd Year)</t>
  </si>
  <si>
    <t>December       (2nd Year)</t>
  </si>
  <si>
    <t>September             (2nd Year)</t>
  </si>
  <si>
    <t>December</t>
  </si>
  <si>
    <t>SCHOOL FEE</t>
  </si>
  <si>
    <t>September</t>
  </si>
  <si>
    <t>March</t>
  </si>
  <si>
    <t>June</t>
  </si>
  <si>
    <t>JPY 440,000</t>
  </si>
  <si>
    <t>JPY  44,000</t>
  </si>
  <si>
    <t>JPY 5,000</t>
  </si>
  <si>
    <t>JPY 499,000</t>
  </si>
  <si>
    <t>JPY  640,500</t>
  </si>
  <si>
    <t>ASIAN ACADEMY, KOBE</t>
  </si>
  <si>
    <t>　same as above /</t>
  </si>
  <si>
    <t>VND/NRS/LKR/US$/JP\</t>
  </si>
  <si>
    <t xml:space="preserve"> VND/NRS/LKR/US$/JP\</t>
  </si>
  <si>
    <t>アジア学院　　ASIAN ACADEMY</t>
  </si>
  <si>
    <t>STATEMENT OF SPONSORSHIP</t>
  </si>
  <si>
    <t>TO THE MINISTER OF JUSTICE OF JAPAN</t>
  </si>
  <si>
    <t>(Y)           /(M)          /(D)</t>
  </si>
  <si>
    <t>APPLICANT'S NAME</t>
  </si>
  <si>
    <t>MALE / FEMALE</t>
  </si>
  <si>
    <t xml:space="preserve">     I have become the financial sponsor of the person above concerning his/her all the expense</t>
  </si>
  <si>
    <t xml:space="preserve">     while staying in Japan.  I explain the reason of sponsoring the person above and its method.</t>
  </si>
  <si>
    <r>
      <rPr>
        <b/>
        <sz val="11"/>
        <rFont val="ＭＳ Ｐ明朝"/>
        <charset val="128"/>
      </rPr>
      <t>1　THE REASON OF SPONSORING</t>
    </r>
    <r>
      <rPr>
        <b/>
        <sz val="10"/>
        <rFont val="ＭＳ Ｐ明朝"/>
        <charset val="128"/>
      </rPr>
      <t>(Describe the reason and the relation to the applicant in detail.)</t>
    </r>
  </si>
  <si>
    <t>2　THE METHOD OF SPONSORSHIP</t>
  </si>
  <si>
    <t xml:space="preserve">I declare I will financially support the person above concerning his/her all the expense while staying in Japan </t>
  </si>
  <si>
    <t>as below.  I also submit the certificate of remittance or the copy of his/her bank book to prove my sponsorship.</t>
  </si>
  <si>
    <t>TUITION</t>
  </si>
  <si>
    <t>\</t>
  </si>
  <si>
    <t>MONTHLY LIVING EXPENSE</t>
  </si>
  <si>
    <t>METHOD</t>
  </si>
  <si>
    <t>(Please describe how the applicant receive the expense from you in detail.)</t>
  </si>
  <si>
    <t>&lt; SPONSOR &gt;</t>
  </si>
  <si>
    <t>PHONE NUMBER</t>
  </si>
  <si>
    <t>NAME &amp; SIGNATURE OF SPONSOR</t>
  </si>
  <si>
    <t>BANGLADESHI</t>
  </si>
  <si>
    <t xml:space="preserve">100,000 JPY </t>
  </si>
  <si>
    <t>22,00,000 BDT</t>
  </si>
  <si>
    <t>DIP/ DHAKA</t>
  </si>
  <si>
    <t>N5</t>
  </si>
  <si>
    <t>5 YEARS</t>
  </si>
  <si>
    <t>5  YEARS</t>
  </si>
  <si>
    <t>2 YEARS</t>
  </si>
  <si>
    <t>AN NUR JAPANESE LANGUAGE SCHOOL</t>
  </si>
  <si>
    <t>27, INDIRA ROAD , FARMGATE DHAKA-1215</t>
  </si>
  <si>
    <t>180 HOURS</t>
  </si>
  <si>
    <t>5TH   MONTHS</t>
  </si>
  <si>
    <t xml:space="preserve"> </t>
  </si>
  <si>
    <t xml:space="preserve">MOTHER </t>
  </si>
  <si>
    <t>MOTHER</t>
  </si>
  <si>
    <t xml:space="preserve">higher education in Japan. During his stay in Japan, I will bear his tuition fees and living expenses. </t>
  </si>
  <si>
    <t>I have sufficient financial ability to support him throughout his study period.</t>
  </si>
  <si>
    <t>(Y)2026       /(M)  03      /(D)11</t>
  </si>
  <si>
    <t xml:space="preserve">I, MANSURA BEGUM, am sponsoring the applicant because he is my son. I would like to support his </t>
  </si>
  <si>
    <t>ARIFUL HOQUE PARAG</t>
  </si>
  <si>
    <t xml:space="preserve">2002                10              25 </t>
  </si>
  <si>
    <t>METONGHER, UTTAR PARA, BANGORA BAZAR, PANDUGHAR-3543, CUMILLA</t>
  </si>
  <si>
    <t>8801522126395</t>
  </si>
  <si>
    <t>MST SHAJEDA KHATUN</t>
  </si>
  <si>
    <t>PARAG</t>
  </si>
  <si>
    <t>ARIFUL HOQUE</t>
  </si>
  <si>
    <t>+8801762971934</t>
  </si>
  <si>
    <t>+8801522126395</t>
  </si>
  <si>
    <t>KURAIBARI PRIMARY SCHOOL</t>
  </si>
  <si>
    <r>
      <t xml:space="preserve">(Y) 2008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1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(D)1</t>
    </r>
  </si>
  <si>
    <r>
      <t xml:space="preserve">(Y)     2013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12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(D)30</t>
    </r>
  </si>
  <si>
    <t>METONGHER B. R. I. M. HIGH SCHOOL</t>
  </si>
  <si>
    <t>METONGHER, BANGORA BAZAR, CUMILLA</t>
  </si>
  <si>
    <r>
      <t>(Y)  2019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5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(D)6</t>
    </r>
  </si>
  <si>
    <r>
      <t xml:space="preserve">(Y) 2014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(M)1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(D)1</t>
    </r>
  </si>
  <si>
    <t>VASHANTEK GOVT. COLLEGE</t>
  </si>
  <si>
    <t>VASHANTEK ROAD, DHAKA</t>
  </si>
  <si>
    <r>
      <t xml:space="preserve">(Y)   2025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10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(D)16</t>
    </r>
  </si>
  <si>
    <r>
      <t xml:space="preserve">(Y)   2024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(M)1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(D)1</t>
    </r>
  </si>
  <si>
    <t xml:space="preserve">
</t>
  </si>
  <si>
    <r>
      <t xml:space="preserve">(Y)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          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　　　　　～</t>
    </r>
  </si>
  <si>
    <r>
      <t xml:space="preserve">(Y)  2025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 8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　1　　　　～</t>
    </r>
  </si>
  <si>
    <r>
      <t xml:space="preserve">(Y)  2026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 xml:space="preserve">(M) 1   </t>
    </r>
    <r>
      <rPr>
        <sz val="14"/>
        <rFont val="ＭＳ Ｐゴシック"/>
        <charset val="128"/>
      </rPr>
      <t>/</t>
    </r>
    <r>
      <rPr>
        <sz val="6"/>
        <rFont val="ＭＳ Ｐゴシック"/>
        <charset val="128"/>
      </rPr>
      <t>(D)30</t>
    </r>
  </si>
  <si>
    <t xml:space="preserve"> CUMILLA</t>
  </si>
  <si>
    <t>A21525535</t>
  </si>
  <si>
    <r>
      <t xml:space="preserve">(Y)         2036        </t>
    </r>
    <r>
      <rPr>
        <sz val="18"/>
        <rFont val="ＭＳ Ｐゴシック"/>
        <charset val="128"/>
      </rPr>
      <t>/</t>
    </r>
    <r>
      <rPr>
        <sz val="8"/>
        <rFont val="ＭＳ Ｐゴシック"/>
        <charset val="128"/>
      </rPr>
      <t xml:space="preserve">(M)         01       </t>
    </r>
    <r>
      <rPr>
        <sz val="18"/>
        <rFont val="ＭＳ Ｐゴシック"/>
        <charset val="128"/>
      </rPr>
      <t>/</t>
    </r>
    <r>
      <rPr>
        <sz val="8"/>
        <rFont val="ＭＳ Ｐゴシック"/>
        <charset val="128"/>
      </rPr>
      <t>(D)23</t>
    </r>
  </si>
  <si>
    <t xml:space="preserve">NAT </t>
  </si>
  <si>
    <t>Furniture Business</t>
  </si>
  <si>
    <t>2D ANIMATION</t>
  </si>
  <si>
    <t xml:space="preserve">METONGHER BAZAR, BANGORA BAZAR, PANDUGHAR-3543, CUMILLA
</t>
  </si>
  <si>
    <t>+8801319295843</t>
  </si>
  <si>
    <t>KURAIBARI, BANGORA BAZAR, PANDUGHAR-3543, CUMILLA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</si>
</sst>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\&quot;#,##0;[Red]&quot;\&quot;\-#,##0"/>
    <numFmt numFmtId="165" formatCode="#,##0_ "/>
  </numFmts>
  <fonts count="43">
    <font>
      <sz val="11"/>
      <name val="ＭＳ Ｐゴシック"/>
      <charset val="128"/>
    </font>
    <font>
      <sz val="11"/>
      <name val="ＭＳ Ｐ明朝"/>
      <charset val="128"/>
    </font>
    <font>
      <b/>
      <sz val="16"/>
      <name val="ＭＳ Ｐ明朝"/>
      <charset val="128"/>
    </font>
    <font>
      <b/>
      <sz val="14"/>
      <name val="ＭＳ Ｐ明朝"/>
      <charset val="128"/>
    </font>
    <font>
      <sz val="12"/>
      <name val="ＭＳ Ｐ明朝"/>
      <charset val="128"/>
    </font>
    <font>
      <sz val="9"/>
      <name val="ＭＳ Ｐ明朝"/>
      <charset val="128"/>
    </font>
    <font>
      <sz val="9"/>
      <name val="ＭＳ Ｐゴシック"/>
      <charset val="128"/>
    </font>
    <font>
      <b/>
      <sz val="11"/>
      <name val="ＭＳ Ｐ明朝"/>
      <charset val="128"/>
    </font>
    <font>
      <sz val="10"/>
      <name val="ＭＳ Ｐ明朝"/>
      <charset val="128"/>
    </font>
    <font>
      <b/>
      <sz val="12"/>
      <name val="ＭＳ Ｐ明朝"/>
      <charset val="128"/>
    </font>
    <font>
      <sz val="12"/>
      <name val="ＭＳ Ｐゴシック"/>
      <charset val="128"/>
    </font>
    <font>
      <sz val="22"/>
      <name val="ＭＳ Ｐゴシック"/>
      <charset val="128"/>
    </font>
    <font>
      <sz val="10"/>
      <name val="ＭＳ Ｐゴシック"/>
      <charset val="128"/>
    </font>
    <font>
      <sz val="8"/>
      <name val="ＭＳ Ｐゴシック"/>
      <charset val="128"/>
    </font>
    <font>
      <sz val="6"/>
      <name val="ＭＳ Ｐゴシック"/>
      <charset val="128"/>
    </font>
    <font>
      <sz val="16"/>
      <name val="ＭＳ Ｐゴシック"/>
      <charset val="128"/>
    </font>
    <font>
      <sz val="14"/>
      <name val="ＭＳ Ｐゴシック"/>
      <charset val="128"/>
    </font>
    <font>
      <sz val="14"/>
      <name val="Century"/>
      <family val="1"/>
    </font>
    <font>
      <sz val="11"/>
      <name val="Century"/>
      <family val="1"/>
    </font>
    <font>
      <b/>
      <sz val="16"/>
      <name val="Century"/>
      <family val="1"/>
    </font>
    <font>
      <b/>
      <sz val="12"/>
      <name val="Century"/>
      <family val="1"/>
    </font>
    <font>
      <sz val="12"/>
      <name val="Century"/>
      <family val="1"/>
    </font>
    <font>
      <b/>
      <sz val="14"/>
      <name val="Century"/>
      <family val="1"/>
    </font>
    <font>
      <i/>
      <u/>
      <sz val="22"/>
      <name val="Century"/>
      <family val="1"/>
    </font>
    <font>
      <sz val="13"/>
      <name val="Century"/>
      <family val="1"/>
    </font>
    <font>
      <sz val="18"/>
      <name val="Century"/>
      <family val="1"/>
    </font>
    <font>
      <sz val="26"/>
      <name val="Century"/>
      <family val="1"/>
    </font>
    <font>
      <sz val="16"/>
      <name val="Century"/>
      <family val="1"/>
    </font>
    <font>
      <b/>
      <i/>
      <sz val="12"/>
      <name val="Century"/>
      <family val="1"/>
    </font>
    <font>
      <sz val="26"/>
      <name val="ＭＳ Ｐゴシック"/>
      <charset val="128"/>
    </font>
    <font>
      <sz val="22"/>
      <name val="ＭＳ Ｐ明朝"/>
      <charset val="128"/>
    </font>
    <font>
      <sz val="22"/>
      <name val="Century"/>
      <family val="1"/>
    </font>
    <font>
      <sz val="9"/>
      <name val="Century"/>
      <family val="1"/>
    </font>
    <font>
      <b/>
      <i/>
      <sz val="14"/>
      <name val="Century"/>
      <family val="1"/>
    </font>
    <font>
      <b/>
      <sz val="11"/>
      <name val="Century"/>
      <family val="1"/>
    </font>
    <font>
      <sz val="10"/>
      <name val="Century"/>
      <family val="1"/>
    </font>
    <font>
      <b/>
      <sz val="9"/>
      <name val="Century"/>
      <family val="1"/>
    </font>
    <font>
      <sz val="8"/>
      <name val="Century"/>
      <family val="1"/>
    </font>
    <font>
      <b/>
      <sz val="12"/>
      <name val="ＭＳ Ｐゴシック"/>
      <charset val="128"/>
    </font>
    <font>
      <sz val="14"/>
      <name val="ＭＳ Ｐ明朝"/>
      <charset val="128"/>
    </font>
    <font>
      <b/>
      <sz val="10"/>
      <name val="ＭＳ Ｐ明朝"/>
      <charset val="128"/>
    </font>
    <font>
      <sz val="18"/>
      <name val="ＭＳ Ｐゴシック"/>
      <charset val="128"/>
    </font>
    <font>
      <b/>
      <sz val="11"/>
      <name val="ＭＳ Ｐゴシック"/>
    </font>
  </fonts>
  <fills count="3">
    <fill>
      <patternFill patternType="none"/>
    </fill>
    <fill>
      <patternFill patternType="gray125"/>
    </fill>
    <fill>
      <patternFill patternType="gray125"/>
    </fill>
  </fills>
  <borders count="10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hair">
        <color auto="1"/>
      </bottom>
      <diagonal style="thin">
        <color auto="1"/>
      </diagonal>
    </border>
    <border diagonalUp="1">
      <left style="thin">
        <color auto="1"/>
      </left>
      <right/>
      <top style="hair">
        <color auto="1"/>
      </top>
      <bottom style="hair">
        <color auto="1"/>
      </bottom>
      <diagonal style="thin">
        <color auto="1"/>
      </diagonal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 diagonalUp="1">
      <left/>
      <right/>
      <top style="thin">
        <color auto="1"/>
      </top>
      <bottom style="hair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hair">
        <color auto="1"/>
      </bottom>
      <diagonal style="thin">
        <color auto="1"/>
      </diagonal>
    </border>
    <border diagonalUp="1">
      <left/>
      <right/>
      <top style="hair">
        <color auto="1"/>
      </top>
      <bottom style="hair">
        <color auto="1"/>
      </bottom>
      <diagonal style="thin">
        <color auto="1"/>
      </diagonal>
    </border>
    <border diagonalUp="1">
      <left/>
      <right style="thin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6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3" xfId="0" applyFont="1" applyBorder="1" applyAlignment="1"/>
    <xf numFmtId="0" fontId="3" fillId="0" borderId="0" xfId="0" applyFont="1" applyAlignment="1"/>
    <xf numFmtId="0" fontId="1" fillId="0" borderId="4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4" fillId="0" borderId="5" xfId="0" applyFont="1" applyBorder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/>
    <xf numFmtId="0" fontId="8" fillId="0" borderId="0" xfId="0" applyFont="1" applyAlignment="1"/>
    <xf numFmtId="49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/>
    <xf numFmtId="0" fontId="8" fillId="0" borderId="5" xfId="0" applyFont="1" applyBorder="1" applyAlignment="1"/>
    <xf numFmtId="0" fontId="7" fillId="0" borderId="0" xfId="0" applyFont="1">
      <alignment vertical="center"/>
    </xf>
    <xf numFmtId="0" fontId="8" fillId="0" borderId="6" xfId="0" applyFont="1" applyBorder="1">
      <alignment vertical="center"/>
    </xf>
    <xf numFmtId="0" fontId="4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1" fillId="0" borderId="5" xfId="0" applyFont="1" applyBorder="1">
      <alignment vertical="center"/>
    </xf>
    <xf numFmtId="0" fontId="4" fillId="0" borderId="4" xfId="0" applyFont="1" applyBorder="1" applyAlignment="1"/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1" fillId="0" borderId="12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17" xfId="0" applyBorder="1">
      <alignment vertical="center"/>
    </xf>
    <xf numFmtId="0" fontId="0" fillId="0" borderId="13" xfId="0" applyBorder="1">
      <alignment vertical="center"/>
    </xf>
    <xf numFmtId="0" fontId="0" fillId="0" borderId="20" xfId="0" applyBorder="1">
      <alignment vertical="center"/>
    </xf>
    <xf numFmtId="0" fontId="0" fillId="0" borderId="6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8" xfId="0" applyBorder="1">
      <alignment vertical="center"/>
    </xf>
    <xf numFmtId="0" fontId="0" fillId="0" borderId="4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13" fillId="0" borderId="27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39" xfId="0" applyBorder="1">
      <alignment vertical="center"/>
    </xf>
    <xf numFmtId="0" fontId="0" fillId="0" borderId="36" xfId="0" applyBorder="1">
      <alignment vertical="center"/>
    </xf>
    <xf numFmtId="0" fontId="0" fillId="0" borderId="29" xfId="0" applyBorder="1">
      <alignment vertical="center"/>
    </xf>
    <xf numFmtId="0" fontId="0" fillId="0" borderId="5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25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0" xfId="0" applyAlignment="1">
      <alignment vertical="center" wrapText="1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>
      <alignment vertical="center"/>
    </xf>
    <xf numFmtId="0" fontId="14" fillId="0" borderId="38" xfId="0" applyFont="1" applyBorder="1" applyAlignment="1">
      <alignment horizontal="left" vertical="top"/>
    </xf>
    <xf numFmtId="0" fontId="14" fillId="0" borderId="20" xfId="0" applyFont="1" applyBorder="1" applyAlignment="1">
      <alignment horizontal="left" vertical="top"/>
    </xf>
    <xf numFmtId="0" fontId="14" fillId="0" borderId="30" xfId="0" applyFont="1" applyBorder="1" applyAlignment="1">
      <alignment horizontal="left" vertical="top"/>
    </xf>
    <xf numFmtId="0" fontId="0" fillId="0" borderId="53" xfId="0" applyBorder="1">
      <alignment vertical="center"/>
    </xf>
    <xf numFmtId="0" fontId="14" fillId="0" borderId="44" xfId="0" applyFont="1" applyBorder="1" applyAlignment="1"/>
    <xf numFmtId="0" fontId="0" fillId="0" borderId="55" xfId="0" applyBorder="1">
      <alignment vertical="center"/>
    </xf>
    <xf numFmtId="0" fontId="0" fillId="0" borderId="57" xfId="0" applyBorder="1">
      <alignment vertical="center"/>
    </xf>
    <xf numFmtId="0" fontId="0" fillId="0" borderId="56" xfId="0" applyBorder="1">
      <alignment vertical="center"/>
    </xf>
    <xf numFmtId="0" fontId="0" fillId="0" borderId="58" xfId="0" applyBorder="1">
      <alignment vertical="center"/>
    </xf>
    <xf numFmtId="0" fontId="0" fillId="0" borderId="56" xfId="0" applyBorder="1" applyAlignment="1">
      <alignment horizontal="center" vertical="center" shrinkToFit="1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0" xfId="0" applyAlignment="1">
      <alignment horizontal="left" vertical="center"/>
    </xf>
    <xf numFmtId="0" fontId="0" fillId="0" borderId="65" xfId="0" applyBorder="1">
      <alignment vertical="center"/>
    </xf>
    <xf numFmtId="0" fontId="14" fillId="0" borderId="19" xfId="0" applyFont="1" applyBorder="1" applyAlignment="1"/>
    <xf numFmtId="0" fontId="13" fillId="0" borderId="54" xfId="0" applyFont="1" applyBorder="1" applyAlignment="1">
      <alignment horizontal="left"/>
    </xf>
    <xf numFmtId="0" fontId="0" fillId="0" borderId="54" xfId="0" applyBorder="1" applyAlignment="1">
      <alignment horizontal="left"/>
    </xf>
    <xf numFmtId="0" fontId="13" fillId="0" borderId="31" xfId="0" applyFont="1" applyBorder="1" applyAlignment="1"/>
    <xf numFmtId="0" fontId="0" fillId="0" borderId="64" xfId="0" applyBorder="1">
      <alignment vertical="center"/>
    </xf>
    <xf numFmtId="0" fontId="0" fillId="0" borderId="47" xfId="0" applyBorder="1">
      <alignment vertical="center"/>
    </xf>
    <xf numFmtId="0" fontId="0" fillId="0" borderId="28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38" xfId="0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>
      <alignment vertical="center"/>
    </xf>
    <xf numFmtId="0" fontId="14" fillId="0" borderId="32" xfId="0" applyFont="1" applyBorder="1" applyAlignment="1"/>
    <xf numFmtId="0" fontId="0" fillId="0" borderId="32" xfId="0" applyBorder="1" applyAlignment="1">
      <alignment vertical="center" shrinkToFit="1"/>
    </xf>
    <xf numFmtId="0" fontId="0" fillId="0" borderId="20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53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0" borderId="16" xfId="0" applyBorder="1" applyAlignment="1">
      <alignment horizontal="left"/>
    </xf>
    <xf numFmtId="0" fontId="0" fillId="0" borderId="66" xfId="0" applyBorder="1" applyAlignment="1">
      <alignment horizontal="left"/>
    </xf>
    <xf numFmtId="0" fontId="0" fillId="0" borderId="66" xfId="0" applyBorder="1">
      <alignment vertical="center"/>
    </xf>
    <xf numFmtId="0" fontId="13" fillId="0" borderId="53" xfId="0" applyFont="1" applyBorder="1" applyAlignment="1"/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center"/>
    </xf>
    <xf numFmtId="0" fontId="20" fillId="0" borderId="0" xfId="0" applyFont="1">
      <alignment vertical="center"/>
    </xf>
    <xf numFmtId="0" fontId="18" fillId="0" borderId="3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38" fontId="17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69" xfId="0" applyFont="1" applyBorder="1">
      <alignment vertical="center"/>
    </xf>
    <xf numFmtId="0" fontId="17" fillId="0" borderId="12" xfId="0" applyFont="1" applyBorder="1">
      <alignment vertical="center"/>
    </xf>
    <xf numFmtId="0" fontId="17" fillId="0" borderId="32" xfId="0" applyFont="1" applyBorder="1">
      <alignment vertical="center"/>
    </xf>
    <xf numFmtId="0" fontId="17" fillId="0" borderId="0" xfId="0" applyFont="1" applyAlignment="1">
      <alignment vertical="center" shrinkToFit="1"/>
    </xf>
    <xf numFmtId="0" fontId="17" fillId="0" borderId="81" xfId="0" applyFont="1" applyBorder="1" applyAlignment="1">
      <alignment vertical="center" shrinkToFit="1"/>
    </xf>
    <xf numFmtId="0" fontId="28" fillId="0" borderId="0" xfId="0" applyFont="1" applyAlignment="1">
      <alignment horizontal="right" vertical="center"/>
    </xf>
    <xf numFmtId="0" fontId="17" fillId="0" borderId="55" xfId="0" applyFont="1" applyBorder="1">
      <alignment vertical="center"/>
    </xf>
    <xf numFmtId="0" fontId="17" fillId="0" borderId="56" xfId="0" applyFont="1" applyBorder="1">
      <alignment vertical="center"/>
    </xf>
    <xf numFmtId="0" fontId="17" fillId="0" borderId="81" xfId="0" applyFont="1" applyBorder="1">
      <alignment vertical="center"/>
    </xf>
    <xf numFmtId="0" fontId="17" fillId="0" borderId="90" xfId="0" applyFont="1" applyBorder="1">
      <alignment vertical="center"/>
    </xf>
    <xf numFmtId="0" fontId="17" fillId="0" borderId="70" xfId="0" applyFont="1" applyBorder="1">
      <alignment vertical="center"/>
    </xf>
    <xf numFmtId="0" fontId="18" fillId="0" borderId="12" xfId="0" applyFont="1" applyBorder="1">
      <alignment vertical="center"/>
    </xf>
    <xf numFmtId="0" fontId="17" fillId="0" borderId="92" xfId="0" applyFont="1" applyBorder="1">
      <alignment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38" fontId="21" fillId="0" borderId="0" xfId="0" applyNumberFormat="1" applyFont="1" applyAlignment="1">
      <alignment horizontal="center" vertical="center"/>
    </xf>
    <xf numFmtId="0" fontId="17" fillId="0" borderId="5" xfId="0" applyFont="1" applyBorder="1">
      <alignment vertical="center"/>
    </xf>
    <xf numFmtId="0" fontId="17" fillId="0" borderId="57" xfId="0" applyFont="1" applyBorder="1">
      <alignment vertical="center"/>
    </xf>
    <xf numFmtId="0" fontId="0" fillId="0" borderId="21" xfId="0" applyBorder="1">
      <alignment vertical="center"/>
    </xf>
    <xf numFmtId="0" fontId="18" fillId="0" borderId="12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2" fillId="0" borderId="0" xfId="0" applyFont="1">
      <alignment vertical="center"/>
    </xf>
    <xf numFmtId="0" fontId="35" fillId="0" borderId="16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6" xfId="0" applyFont="1" applyBorder="1">
      <alignment vertical="center"/>
    </xf>
    <xf numFmtId="0" fontId="32" fillId="0" borderId="24" xfId="0" applyFont="1" applyBorder="1">
      <alignment vertical="center"/>
    </xf>
    <xf numFmtId="0" fontId="35" fillId="0" borderId="24" xfId="0" applyFont="1" applyBorder="1">
      <alignment vertical="center"/>
    </xf>
    <xf numFmtId="0" fontId="35" fillId="0" borderId="30" xfId="0" applyFont="1" applyBorder="1">
      <alignment vertical="center"/>
    </xf>
    <xf numFmtId="0" fontId="35" fillId="0" borderId="31" xfId="0" applyFont="1" applyBorder="1">
      <alignment vertical="center"/>
    </xf>
    <xf numFmtId="0" fontId="35" fillId="0" borderId="17" xfId="0" applyFont="1" applyBorder="1">
      <alignment vertical="center"/>
    </xf>
    <xf numFmtId="0" fontId="35" fillId="0" borderId="13" xfId="0" applyFont="1" applyBorder="1">
      <alignment vertical="center"/>
    </xf>
    <xf numFmtId="0" fontId="35" fillId="0" borderId="20" xfId="0" applyFont="1" applyBorder="1">
      <alignment vertical="center"/>
    </xf>
    <xf numFmtId="0" fontId="18" fillId="0" borderId="99" xfId="0" applyFont="1" applyBorder="1" applyAlignment="1">
      <alignment horizontal="center" vertical="center" shrinkToFit="1"/>
    </xf>
    <xf numFmtId="0" fontId="35" fillId="0" borderId="4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textRotation="255" shrinkToFit="1"/>
    </xf>
    <xf numFmtId="0" fontId="35" fillId="0" borderId="12" xfId="0" applyFont="1" applyBorder="1" applyAlignment="1">
      <alignment horizontal="center" vertical="center"/>
    </xf>
    <xf numFmtId="0" fontId="35" fillId="0" borderId="12" xfId="0" applyFont="1" applyBorder="1">
      <alignment vertical="center"/>
    </xf>
    <xf numFmtId="0" fontId="35" fillId="0" borderId="65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5" fillId="0" borderId="4" xfId="0" applyFont="1" applyBorder="1">
      <alignment vertical="center"/>
    </xf>
    <xf numFmtId="0" fontId="35" fillId="0" borderId="22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32" fillId="0" borderId="97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18" fillId="0" borderId="55" xfId="0" applyFont="1" applyBorder="1">
      <alignment vertical="center"/>
    </xf>
    <xf numFmtId="0" fontId="18" fillId="0" borderId="57" xfId="0" applyFont="1" applyBorder="1">
      <alignment vertical="center"/>
    </xf>
    <xf numFmtId="0" fontId="18" fillId="0" borderId="56" xfId="0" applyFont="1" applyBorder="1">
      <alignment vertical="center"/>
    </xf>
    <xf numFmtId="0" fontId="37" fillId="0" borderId="67" xfId="0" applyFont="1" applyBorder="1" applyAlignment="1">
      <alignment horizontal="center" vertical="center" wrapText="1"/>
    </xf>
    <xf numFmtId="0" fontId="32" fillId="0" borderId="105" xfId="0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shrinkToFit="1"/>
    </xf>
    <xf numFmtId="0" fontId="18" fillId="0" borderId="15" xfId="0" applyFont="1" applyBorder="1">
      <alignment vertical="center"/>
    </xf>
    <xf numFmtId="0" fontId="17" fillId="0" borderId="16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/>
    </xf>
    <xf numFmtId="0" fontId="18" fillId="0" borderId="6" xfId="0" applyFont="1" applyBorder="1">
      <alignment vertical="center"/>
    </xf>
    <xf numFmtId="0" fontId="18" fillId="0" borderId="18" xfId="0" applyFont="1" applyBorder="1">
      <alignment vertical="center"/>
    </xf>
    <xf numFmtId="0" fontId="17" fillId="0" borderId="1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/>
    </xf>
    <xf numFmtId="0" fontId="18" fillId="0" borderId="19" xfId="0" applyFont="1" applyBorder="1">
      <alignment vertical="center"/>
    </xf>
    <xf numFmtId="0" fontId="18" fillId="0" borderId="24" xfId="0" applyFont="1" applyBorder="1">
      <alignment vertical="center"/>
    </xf>
    <xf numFmtId="0" fontId="18" fillId="0" borderId="45" xfId="0" applyFont="1" applyBorder="1">
      <alignment vertical="center"/>
    </xf>
    <xf numFmtId="0" fontId="17" fillId="0" borderId="42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/>
    </xf>
    <xf numFmtId="0" fontId="18" fillId="0" borderId="31" xfId="0" applyFont="1" applyBorder="1">
      <alignment vertical="center"/>
    </xf>
    <xf numFmtId="0" fontId="18" fillId="0" borderId="43" xfId="0" applyFont="1" applyBorder="1">
      <alignment vertical="center"/>
    </xf>
    <xf numFmtId="0" fontId="18" fillId="0" borderId="58" xfId="0" applyFont="1" applyBorder="1" applyAlignment="1">
      <alignment horizontal="center"/>
    </xf>
    <xf numFmtId="0" fontId="18" fillId="0" borderId="13" xfId="0" applyFont="1" applyBorder="1">
      <alignment vertical="center"/>
    </xf>
    <xf numFmtId="0" fontId="18" fillId="0" borderId="16" xfId="0" applyFont="1" applyBorder="1">
      <alignment vertical="center"/>
    </xf>
    <xf numFmtId="0" fontId="18" fillId="0" borderId="61" xfId="0" applyFont="1" applyBorder="1" applyAlignment="1">
      <alignment horizontal="center"/>
    </xf>
    <xf numFmtId="0" fontId="18" fillId="0" borderId="63" xfId="0" applyFont="1" applyBorder="1" applyAlignment="1">
      <alignment horizontal="center"/>
    </xf>
    <xf numFmtId="0" fontId="18" fillId="0" borderId="69" xfId="0" applyFont="1" applyBorder="1">
      <alignment vertical="center"/>
    </xf>
    <xf numFmtId="0" fontId="18" fillId="0" borderId="12" xfId="0" applyFont="1" applyBorder="1" applyAlignment="1">
      <alignment horizontal="center"/>
    </xf>
    <xf numFmtId="0" fontId="18" fillId="0" borderId="4" xfId="0" applyFont="1" applyBorder="1">
      <alignment vertical="center"/>
    </xf>
    <xf numFmtId="0" fontId="18" fillId="0" borderId="34" xfId="0" applyFont="1" applyBorder="1">
      <alignment vertical="center"/>
    </xf>
    <xf numFmtId="0" fontId="18" fillId="0" borderId="35" xfId="0" applyFont="1" applyBorder="1">
      <alignment vertical="center"/>
    </xf>
    <xf numFmtId="0" fontId="18" fillId="0" borderId="52" xfId="0" applyFont="1" applyBorder="1" applyAlignment="1">
      <alignment horizontal="center"/>
    </xf>
    <xf numFmtId="0" fontId="18" fillId="0" borderId="44" xfId="0" applyFont="1" applyBorder="1">
      <alignment vertical="center"/>
    </xf>
    <xf numFmtId="0" fontId="42" fillId="0" borderId="17" xfId="0" applyFont="1" applyBorder="1">
      <alignment vertical="center"/>
    </xf>
    <xf numFmtId="0" fontId="22" fillId="0" borderId="0" xfId="0" applyFont="1" applyAlignment="1">
      <alignment horizontal="center"/>
    </xf>
    <xf numFmtId="0" fontId="18" fillId="0" borderId="0" xfId="0" applyFont="1" applyAlignment="1"/>
    <xf numFmtId="0" fontId="35" fillId="0" borderId="46" xfId="0" applyFont="1" applyBorder="1" applyAlignment="1">
      <alignment horizontal="center" shrinkToFit="1"/>
    </xf>
    <xf numFmtId="0" fontId="35" fillId="0" borderId="55" xfId="0" applyFont="1" applyBorder="1" applyAlignment="1">
      <alignment horizontal="center" shrinkToFit="1"/>
    </xf>
    <xf numFmtId="0" fontId="32" fillId="0" borderId="46" xfId="0" applyFont="1" applyBorder="1" applyAlignment="1">
      <alignment horizontal="center" vertical="center" shrinkToFit="1"/>
    </xf>
    <xf numFmtId="0" fontId="18" fillId="0" borderId="32" xfId="0" applyFont="1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0" fontId="0" fillId="0" borderId="55" xfId="0" applyBorder="1" applyAlignment="1">
      <alignment vertical="center" shrinkToFit="1"/>
    </xf>
    <xf numFmtId="0" fontId="35" fillId="0" borderId="29" xfId="0" applyFont="1" applyBorder="1" applyAlignment="1">
      <alignment horizontal="center" vertical="top" shrinkToFit="1"/>
    </xf>
    <xf numFmtId="0" fontId="35" fillId="0" borderId="57" xfId="0" applyFont="1" applyBorder="1" applyAlignment="1">
      <alignment horizontal="center" vertical="top" shrinkToFit="1"/>
    </xf>
    <xf numFmtId="0" fontId="32" fillId="0" borderId="29" xfId="0" applyFont="1" applyBorder="1">
      <alignment vertical="center"/>
    </xf>
    <xf numFmtId="0" fontId="18" fillId="0" borderId="5" xfId="0" applyFont="1" applyBorder="1">
      <alignment vertical="center"/>
    </xf>
    <xf numFmtId="0" fontId="32" fillId="0" borderId="95" xfId="0" applyFont="1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2" fillId="0" borderId="97" xfId="0" applyFont="1" applyBorder="1" applyAlignment="1">
      <alignment horizontal="center"/>
    </xf>
    <xf numFmtId="0" fontId="32" fillId="0" borderId="46" xfId="0" applyFont="1" applyBorder="1" applyAlignment="1">
      <alignment horizontal="center" vertical="center" wrapText="1"/>
    </xf>
    <xf numFmtId="0" fontId="18" fillId="0" borderId="103" xfId="0" applyFont="1" applyBorder="1">
      <alignment vertical="center"/>
    </xf>
    <xf numFmtId="0" fontId="18" fillId="0" borderId="29" xfId="0" applyFont="1" applyBorder="1">
      <alignment vertical="center"/>
    </xf>
    <xf numFmtId="0" fontId="18" fillId="0" borderId="104" xfId="0" applyFont="1" applyBorder="1">
      <alignment vertical="center"/>
    </xf>
    <xf numFmtId="0" fontId="32" fillId="0" borderId="32" xfId="0" applyFont="1" applyBorder="1" applyAlignment="1">
      <alignment horizontal="center" vertical="center" wrapText="1"/>
    </xf>
    <xf numFmtId="0" fontId="18" fillId="0" borderId="55" xfId="0" applyFont="1" applyBorder="1">
      <alignment vertical="center"/>
    </xf>
    <xf numFmtId="0" fontId="18" fillId="0" borderId="57" xfId="0" applyFont="1" applyBorder="1">
      <alignment vertical="center"/>
    </xf>
    <xf numFmtId="0" fontId="32" fillId="0" borderId="69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1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/>
    </xf>
    <xf numFmtId="0" fontId="18" fillId="0" borderId="12" xfId="0" applyFont="1" applyBorder="1">
      <alignment vertical="center"/>
    </xf>
    <xf numFmtId="0" fontId="18" fillId="0" borderId="70" xfId="0" applyFont="1" applyBorder="1">
      <alignment vertical="center"/>
    </xf>
    <xf numFmtId="0" fontId="35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8" fillId="0" borderId="69" xfId="0" applyFont="1" applyBorder="1" applyAlignment="1">
      <alignment horizontal="center" vertical="center"/>
    </xf>
    <xf numFmtId="0" fontId="35" fillId="0" borderId="20" xfId="0" applyFont="1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50" xfId="0" applyBorder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7" fillId="2" borderId="95" xfId="0" applyFont="1" applyFill="1" applyBorder="1" applyAlignment="1">
      <alignment horizontal="center" vertical="center" textRotation="255"/>
    </xf>
    <xf numFmtId="0" fontId="17" fillId="2" borderId="96" xfId="0" applyFont="1" applyFill="1" applyBorder="1" applyAlignment="1">
      <alignment horizontal="center" vertical="center" textRotation="255"/>
    </xf>
    <xf numFmtId="0" fontId="17" fillId="2" borderId="97" xfId="0" applyFont="1" applyFill="1" applyBorder="1" applyAlignment="1">
      <alignment horizontal="center" vertical="center" textRotation="255"/>
    </xf>
    <xf numFmtId="0" fontId="17" fillId="0" borderId="96" xfId="0" applyFont="1" applyBorder="1" applyAlignment="1">
      <alignment horizontal="center" vertical="center" textRotation="255" shrinkToFit="1"/>
    </xf>
    <xf numFmtId="0" fontId="17" fillId="0" borderId="97" xfId="0" applyFont="1" applyBorder="1" applyAlignment="1">
      <alignment horizontal="center" vertical="center" textRotation="255" shrinkToFit="1"/>
    </xf>
    <xf numFmtId="0" fontId="18" fillId="0" borderId="98" xfId="0" applyFont="1" applyBorder="1" applyAlignment="1">
      <alignment horizontal="center" vertical="center" textRotation="255"/>
    </xf>
    <xf numFmtId="0" fontId="18" fillId="0" borderId="99" xfId="0" applyFont="1" applyBorder="1" applyAlignment="1">
      <alignment horizontal="center" vertical="center" textRotation="255"/>
    </xf>
    <xf numFmtId="0" fontId="36" fillId="0" borderId="100" xfId="0" applyFont="1" applyBorder="1" applyAlignment="1">
      <alignment horizontal="center" vertical="center" textRotation="255" shrinkToFit="1"/>
    </xf>
    <xf numFmtId="0" fontId="36" fillId="0" borderId="98" xfId="0" applyFont="1" applyBorder="1" applyAlignment="1">
      <alignment horizontal="center" vertical="center" textRotation="255" shrinkToFit="1"/>
    </xf>
    <xf numFmtId="0" fontId="18" fillId="0" borderId="98" xfId="0" applyFont="1" applyBorder="1" applyAlignment="1">
      <alignment horizontal="center" vertical="center" textRotation="255" shrinkToFit="1"/>
    </xf>
    <xf numFmtId="0" fontId="18" fillId="0" borderId="99" xfId="0" applyFont="1" applyBorder="1" applyAlignment="1">
      <alignment horizontal="center" vertical="center" textRotation="255" shrinkToFit="1"/>
    </xf>
    <xf numFmtId="0" fontId="32" fillId="0" borderId="17" xfId="0" applyFont="1" applyBorder="1" applyAlignment="1">
      <alignment vertical="center" shrinkToFit="1"/>
    </xf>
    <xf numFmtId="0" fontId="0" fillId="0" borderId="13" xfId="0" applyBorder="1" applyAlignment="1">
      <alignment vertical="center" shrinkToFit="1"/>
    </xf>
    <xf numFmtId="0" fontId="0" fillId="0" borderId="49" xfId="0" applyBorder="1" applyAlignment="1">
      <alignment vertical="center" shrinkToFit="1"/>
    </xf>
    <xf numFmtId="0" fontId="32" fillId="0" borderId="20" xfId="0" applyFont="1" applyBorder="1" applyAlignment="1">
      <alignment vertical="center" shrinkToFit="1"/>
    </xf>
    <xf numFmtId="0" fontId="18" fillId="0" borderId="6" xfId="0" applyFont="1" applyBorder="1" applyAlignment="1">
      <alignment vertical="center" shrinkToFit="1"/>
    </xf>
    <xf numFmtId="0" fontId="18" fillId="0" borderId="50" xfId="0" applyFont="1" applyBorder="1" applyAlignment="1">
      <alignment vertical="center" shrinkToFit="1"/>
    </xf>
    <xf numFmtId="0" fontId="35" fillId="0" borderId="20" xfId="0" applyFont="1" applyBorder="1" applyAlignment="1">
      <alignment horizontal="left" vertical="center" shrinkToFit="1"/>
    </xf>
    <xf numFmtId="0" fontId="35" fillId="0" borderId="6" xfId="0" applyFont="1" applyBorder="1" applyAlignment="1">
      <alignment horizontal="left" vertical="center" shrinkToFit="1"/>
    </xf>
    <xf numFmtId="0" fontId="15" fillId="0" borderId="4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1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4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35" xfId="0" applyBorder="1" applyAlignment="1">
      <alignment horizontal="center" vertical="center" shrinkToFit="1"/>
    </xf>
    <xf numFmtId="0" fontId="0" fillId="0" borderId="59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horizontal="center" vertical="center" shrinkToFit="1"/>
    </xf>
    <xf numFmtId="0" fontId="0" fillId="0" borderId="42" xfId="0" applyBorder="1" applyAlignment="1">
      <alignment vertical="center" shrinkToFit="1"/>
    </xf>
    <xf numFmtId="0" fontId="0" fillId="0" borderId="60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>
      <alignment vertical="center"/>
    </xf>
    <xf numFmtId="0" fontId="0" fillId="0" borderId="3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19" xfId="0" applyBorder="1" applyAlignment="1">
      <alignment horizontal="center" vertical="center" shrinkToFit="1"/>
    </xf>
    <xf numFmtId="0" fontId="0" fillId="0" borderId="63" xfId="0" applyBorder="1" applyAlignment="1">
      <alignment horizontal="center" vertical="center" shrinkToFit="1"/>
    </xf>
    <xf numFmtId="0" fontId="14" fillId="0" borderId="16" xfId="0" applyFont="1" applyBorder="1" applyAlignment="1"/>
    <xf numFmtId="0" fontId="14" fillId="0" borderId="44" xfId="0" applyFont="1" applyBorder="1" applyAlignment="1"/>
    <xf numFmtId="0" fontId="13" fillId="0" borderId="16" xfId="0" applyFont="1" applyBorder="1" applyAlignment="1">
      <alignment horizontal="right"/>
    </xf>
    <xf numFmtId="0" fontId="0" fillId="0" borderId="61" xfId="0" applyBorder="1" applyAlignment="1">
      <alignment horizontal="right"/>
    </xf>
    <xf numFmtId="0" fontId="0" fillId="0" borderId="44" xfId="0" applyBorder="1" applyAlignment="1">
      <alignment horizontal="right"/>
    </xf>
    <xf numFmtId="0" fontId="0" fillId="0" borderId="62" xfId="0" applyBorder="1" applyAlignment="1">
      <alignment horizontal="right"/>
    </xf>
    <xf numFmtId="0" fontId="0" fillId="0" borderId="61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3" fillId="0" borderId="30" xfId="0" applyFont="1" applyBorder="1" applyAlignment="1"/>
    <xf numFmtId="0" fontId="13" fillId="0" borderId="31" xfId="0" applyFont="1" applyBorder="1" applyAlignment="1"/>
    <xf numFmtId="0" fontId="13" fillId="0" borderId="58" xfId="0" applyFont="1" applyBorder="1" applyAlignment="1"/>
    <xf numFmtId="0" fontId="0" fillId="0" borderId="48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55" xfId="0" applyBorder="1">
      <alignment vertical="center"/>
    </xf>
    <xf numFmtId="0" fontId="0" fillId="0" borderId="46" xfId="0" applyBorder="1" applyAlignment="1">
      <alignment horizontal="left" vertical="center"/>
    </xf>
    <xf numFmtId="0" fontId="0" fillId="0" borderId="47" xfId="0" applyBorder="1">
      <alignment vertical="center"/>
    </xf>
    <xf numFmtId="0" fontId="15" fillId="0" borderId="6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58" xfId="0" applyBorder="1">
      <alignment vertical="center"/>
    </xf>
    <xf numFmtId="0" fontId="0" fillId="0" borderId="62" xfId="0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 shrinkToFit="1"/>
    </xf>
    <xf numFmtId="0" fontId="0" fillId="0" borderId="50" xfId="0" applyBorder="1" applyAlignment="1">
      <alignment horizontal="center" vertical="center" shrinkToFit="1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43" xfId="0" applyBorder="1">
      <alignment vertical="center"/>
    </xf>
    <xf numFmtId="0" fontId="0" fillId="0" borderId="30" xfId="0" applyBorder="1" applyAlignment="1">
      <alignment horizontal="center" vertical="center" shrinkToFit="1"/>
    </xf>
    <xf numFmtId="0" fontId="0" fillId="0" borderId="31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13" fillId="0" borderId="43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6" fillId="0" borderId="15" xfId="0" applyFont="1" applyBorder="1" applyAlignment="1">
      <alignment horizontal="center" vertical="center" textRotation="255" shrinkToFit="1"/>
    </xf>
    <xf numFmtId="0" fontId="0" fillId="0" borderId="43" xfId="0" applyBorder="1" applyAlignment="1">
      <alignment horizontal="center" vertical="center" textRotation="255" shrinkToFit="1"/>
    </xf>
    <xf numFmtId="0" fontId="0" fillId="0" borderId="26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35" xfId="0" applyFont="1" applyBorder="1" applyAlignment="1"/>
    <xf numFmtId="0" fontId="0" fillId="0" borderId="46" xfId="0" applyBorder="1" applyAlignment="1">
      <alignment horizontal="center" vertical="center" shrinkToFit="1"/>
    </xf>
    <xf numFmtId="0" fontId="0" fillId="0" borderId="32" xfId="0" applyBorder="1" applyAlignment="1">
      <alignment horizontal="center" vertical="center" shrinkToFit="1"/>
    </xf>
    <xf numFmtId="0" fontId="0" fillId="0" borderId="47" xfId="0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15" fillId="0" borderId="15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16" fillId="0" borderId="16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4" fillId="0" borderId="42" xfId="0" applyFont="1" applyBorder="1" applyAlignment="1"/>
    <xf numFmtId="0" fontId="13" fillId="0" borderId="35" xfId="0" applyFont="1" applyBorder="1" applyAlignment="1">
      <alignment horizontal="right"/>
    </xf>
    <xf numFmtId="0" fontId="0" fillId="0" borderId="59" xfId="0" applyBorder="1" applyAlignment="1">
      <alignment horizontal="right"/>
    </xf>
    <xf numFmtId="0" fontId="0" fillId="0" borderId="42" xfId="0" applyBorder="1" applyAlignment="1">
      <alignment horizontal="right"/>
    </xf>
    <xf numFmtId="0" fontId="0" fillId="0" borderId="60" xfId="0" applyBorder="1" applyAlignment="1">
      <alignment horizontal="right"/>
    </xf>
    <xf numFmtId="0" fontId="12" fillId="0" borderId="19" xfId="0" applyFont="1" applyBorder="1" applyAlignment="1">
      <alignment horizontal="right" wrapText="1"/>
    </xf>
    <xf numFmtId="0" fontId="12" fillId="0" borderId="19" xfId="0" applyFont="1" applyBorder="1" applyAlignment="1">
      <alignment horizontal="right" vertical="center" wrapText="1"/>
    </xf>
    <xf numFmtId="0" fontId="12" fillId="0" borderId="44" xfId="0" applyFont="1" applyBorder="1" applyAlignment="1">
      <alignment horizontal="right" vertical="center" wrapText="1"/>
    </xf>
    <xf numFmtId="0" fontId="12" fillId="0" borderId="19" xfId="0" applyFont="1" applyBorder="1" applyAlignment="1">
      <alignment horizontal="right"/>
    </xf>
    <xf numFmtId="0" fontId="12" fillId="0" borderId="63" xfId="0" applyFont="1" applyBorder="1" applyAlignment="1">
      <alignment horizontal="right"/>
    </xf>
    <xf numFmtId="0" fontId="12" fillId="0" borderId="44" xfId="0" applyFont="1" applyBorder="1" applyAlignment="1">
      <alignment horizontal="right"/>
    </xf>
    <xf numFmtId="0" fontId="12" fillId="0" borderId="62" xfId="0" applyFont="1" applyBorder="1" applyAlignment="1">
      <alignment horizontal="right"/>
    </xf>
    <xf numFmtId="0" fontId="14" fillId="0" borderId="54" xfId="0" applyFont="1" applyBorder="1" applyAlignment="1"/>
    <xf numFmtId="0" fontId="21" fillId="0" borderId="45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165" fontId="21" fillId="0" borderId="25" xfId="0" applyNumberFormat="1" applyFont="1" applyBorder="1" applyAlignment="1">
      <alignment horizontal="center" vertical="center"/>
    </xf>
    <xf numFmtId="165" fontId="21" fillId="0" borderId="42" xfId="0" applyNumberFormat="1" applyFont="1" applyBorder="1" applyAlignment="1">
      <alignment horizontal="center" vertical="center"/>
    </xf>
    <xf numFmtId="165" fontId="21" fillId="0" borderId="26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67" xfId="0" applyFont="1" applyBorder="1" applyAlignment="1">
      <alignment horizontal="center"/>
    </xf>
    <xf numFmtId="0" fontId="18" fillId="0" borderId="68" xfId="0" applyFont="1" applyBorder="1" applyAlignment="1">
      <alignment horizontal="center"/>
    </xf>
    <xf numFmtId="0" fontId="21" fillId="0" borderId="6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 wrapText="1" shrinkToFit="1"/>
    </xf>
    <xf numFmtId="0" fontId="18" fillId="0" borderId="12" xfId="0" applyFont="1" applyBorder="1" applyAlignment="1">
      <alignment horizontal="center" vertical="center" wrapText="1" shrinkToFit="1"/>
    </xf>
    <xf numFmtId="0" fontId="18" fillId="0" borderId="70" xfId="0" applyFont="1" applyBorder="1" applyAlignment="1">
      <alignment horizontal="center" vertical="center" wrapText="1" shrinkToFit="1"/>
    </xf>
    <xf numFmtId="0" fontId="21" fillId="0" borderId="69" xfId="0" applyFont="1" applyBorder="1" applyAlignment="1">
      <alignment horizontal="center" vertical="center" wrapText="1" shrinkToFit="1"/>
    </xf>
    <xf numFmtId="0" fontId="21" fillId="0" borderId="12" xfId="0" applyFont="1" applyBorder="1" applyAlignment="1">
      <alignment horizontal="center" vertical="center" wrapText="1" shrinkToFit="1"/>
    </xf>
    <xf numFmtId="0" fontId="21" fillId="0" borderId="70" xfId="0" applyFont="1" applyBorder="1" applyAlignment="1">
      <alignment horizontal="center" vertical="center" wrapText="1" shrinkToFit="1"/>
    </xf>
    <xf numFmtId="0" fontId="21" fillId="0" borderId="18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65" fontId="21" fillId="0" borderId="22" xfId="0" applyNumberFormat="1" applyFont="1" applyBorder="1" applyAlignment="1">
      <alignment horizontal="center" vertical="center"/>
    </xf>
    <xf numFmtId="165" fontId="21" fillId="0" borderId="19" xfId="0" applyNumberFormat="1" applyFont="1" applyBorder="1" applyAlignment="1">
      <alignment horizontal="center" vertical="center"/>
    </xf>
    <xf numFmtId="165" fontId="21" fillId="0" borderId="20" xfId="0" applyNumberFormat="1" applyFont="1" applyBorder="1" applyAlignment="1">
      <alignment horizontal="center" vertical="center"/>
    </xf>
    <xf numFmtId="165" fontId="21" fillId="0" borderId="63" xfId="0" applyNumberFormat="1" applyFont="1" applyBorder="1" applyAlignment="1">
      <alignment horizontal="center" vertical="center"/>
    </xf>
    <xf numFmtId="165" fontId="21" fillId="0" borderId="60" xfId="0" applyNumberFormat="1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 shrinkToFit="1"/>
    </xf>
    <xf numFmtId="0" fontId="18" fillId="0" borderId="58" xfId="0" applyFont="1" applyBorder="1" applyAlignment="1">
      <alignment horizontal="center" vertical="center" shrinkToFit="1"/>
    </xf>
    <xf numFmtId="165" fontId="21" fillId="0" borderId="31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38" fontId="22" fillId="0" borderId="32" xfId="0" applyNumberFormat="1" applyFont="1" applyBorder="1" applyAlignment="1">
      <alignment horizontal="center" vertical="center" shrinkToFit="1"/>
    </xf>
    <xf numFmtId="38" fontId="22" fillId="0" borderId="55" xfId="0" applyNumberFormat="1" applyFont="1" applyBorder="1" applyAlignment="1">
      <alignment horizontal="center" vertical="center" shrinkToFit="1"/>
    </xf>
    <xf numFmtId="38" fontId="22" fillId="0" borderId="0" xfId="0" applyNumberFormat="1" applyFont="1" applyAlignment="1">
      <alignment horizontal="center" vertical="center" shrinkToFit="1"/>
    </xf>
    <xf numFmtId="38" fontId="22" fillId="0" borderId="56" xfId="0" applyNumberFormat="1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 shrinkToFit="1"/>
    </xf>
    <xf numFmtId="0" fontId="34" fillId="0" borderId="56" xfId="0" applyFont="1" applyBorder="1" applyAlignment="1">
      <alignment horizontal="center" vertical="center" shrinkToFit="1"/>
    </xf>
    <xf numFmtId="0" fontId="34" fillId="0" borderId="5" xfId="0" applyFont="1" applyBorder="1" applyAlignment="1">
      <alignment horizontal="center" vertical="center" shrinkToFit="1"/>
    </xf>
    <xf numFmtId="0" fontId="34" fillId="0" borderId="57" xfId="0" applyFont="1" applyBorder="1" applyAlignment="1">
      <alignment horizontal="center" vertical="center" shrinkToFit="1"/>
    </xf>
    <xf numFmtId="0" fontId="21" fillId="0" borderId="27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38" fontId="22" fillId="0" borderId="0" xfId="0" applyNumberFormat="1" applyFont="1" applyAlignment="1">
      <alignment horizontal="center" vertical="center"/>
    </xf>
    <xf numFmtId="38" fontId="17" fillId="0" borderId="0" xfId="0" applyNumberFormat="1" applyFont="1" applyAlignment="1">
      <alignment horizontal="center" vertical="center"/>
    </xf>
    <xf numFmtId="38" fontId="17" fillId="0" borderId="56" xfId="0" applyNumberFormat="1" applyFont="1" applyBorder="1" applyAlignment="1">
      <alignment horizontal="center" vertical="center"/>
    </xf>
    <xf numFmtId="38" fontId="17" fillId="0" borderId="5" xfId="0" applyNumberFormat="1" applyFont="1" applyBorder="1" applyAlignment="1">
      <alignment horizontal="center" vertical="center"/>
    </xf>
    <xf numFmtId="38" fontId="17" fillId="0" borderId="57" xfId="0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38" fontId="22" fillId="0" borderId="32" xfId="0" applyNumberFormat="1" applyFont="1" applyBorder="1" applyAlignment="1">
      <alignment horizontal="center" vertical="center"/>
    </xf>
    <xf numFmtId="38" fontId="17" fillId="0" borderId="32" xfId="0" applyNumberFormat="1" applyFont="1" applyBorder="1" applyAlignment="1">
      <alignment horizontal="center" vertical="center"/>
    </xf>
    <xf numFmtId="38" fontId="17" fillId="0" borderId="55" xfId="0" applyNumberFormat="1" applyFont="1" applyBorder="1" applyAlignment="1">
      <alignment horizontal="center" vertical="center"/>
    </xf>
    <xf numFmtId="165" fontId="21" fillId="0" borderId="50" xfId="0" applyNumberFormat="1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17" fillId="0" borderId="80" xfId="0" applyFont="1" applyBorder="1" applyAlignment="1">
      <alignment vertical="center" wrapText="1" shrinkToFit="1"/>
    </xf>
    <xf numFmtId="0" fontId="17" fillId="0" borderId="81" xfId="0" applyFont="1" applyBorder="1" applyAlignment="1">
      <alignment vertical="center" wrapText="1" shrinkToFit="1"/>
    </xf>
    <xf numFmtId="0" fontId="17" fillId="0" borderId="78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79" xfId="0" applyFont="1" applyBorder="1" applyAlignment="1">
      <alignment horizontal="center" vertical="center" wrapText="1"/>
    </xf>
    <xf numFmtId="0" fontId="25" fillId="0" borderId="84" xfId="0" applyFont="1" applyBorder="1" applyAlignment="1">
      <alignment vertical="center" wrapText="1"/>
    </xf>
    <xf numFmtId="0" fontId="25" fillId="0" borderId="85" xfId="0" applyFont="1" applyBorder="1" applyAlignment="1">
      <alignment vertical="center" wrapText="1"/>
    </xf>
    <xf numFmtId="0" fontId="26" fillId="0" borderId="84" xfId="0" applyFont="1" applyBorder="1" applyAlignment="1">
      <alignment horizontal="center" vertical="center"/>
    </xf>
    <xf numFmtId="0" fontId="26" fillId="0" borderId="85" xfId="0" applyFont="1" applyBorder="1" applyAlignment="1">
      <alignment horizontal="center" vertical="center"/>
    </xf>
    <xf numFmtId="0" fontId="26" fillId="0" borderId="91" xfId="0" applyFont="1" applyBorder="1" applyAlignment="1">
      <alignment horizontal="center" vertical="center"/>
    </xf>
    <xf numFmtId="0" fontId="17" fillId="0" borderId="32" xfId="0" applyFont="1" applyBorder="1" applyAlignment="1">
      <alignment vertical="center" shrinkToFit="1"/>
    </xf>
    <xf numFmtId="0" fontId="17" fillId="0" borderId="55" xfId="0" applyFont="1" applyBorder="1" applyAlignment="1">
      <alignment vertical="center" shrinkToFit="1"/>
    </xf>
    <xf numFmtId="0" fontId="27" fillId="0" borderId="84" xfId="0" applyFont="1" applyBorder="1" applyAlignment="1">
      <alignment vertical="center" wrapText="1"/>
    </xf>
    <xf numFmtId="0" fontId="27" fillId="0" borderId="85" xfId="0" applyFont="1" applyBorder="1" applyAlignment="1">
      <alignment vertical="center" wrapText="1"/>
    </xf>
    <xf numFmtId="0" fontId="27" fillId="0" borderId="91" xfId="0" applyFont="1" applyBorder="1" applyAlignment="1">
      <alignment vertical="center" wrapText="1"/>
    </xf>
    <xf numFmtId="0" fontId="33" fillId="0" borderId="0" xfId="0" applyFont="1" applyAlignment="1">
      <alignment horizontal="right"/>
    </xf>
    <xf numFmtId="0" fontId="17" fillId="0" borderId="69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93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shrinkToFit="1"/>
    </xf>
    <xf numFmtId="0" fontId="18" fillId="0" borderId="94" xfId="0" applyFont="1" applyBorder="1" applyAlignment="1">
      <alignment horizontal="center" vertical="center" shrinkToFit="1"/>
    </xf>
    <xf numFmtId="0" fontId="17" fillId="0" borderId="77" xfId="0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shrinkToFit="1"/>
    </xf>
    <xf numFmtId="0" fontId="18" fillId="0" borderId="76" xfId="0" applyFont="1" applyBorder="1" applyAlignment="1">
      <alignment horizontal="center" vertical="center" shrinkToFit="1"/>
    </xf>
    <xf numFmtId="0" fontId="17" fillId="0" borderId="78" xfId="0" applyFont="1" applyBorder="1" applyAlignment="1">
      <alignment horizontal="center" vertical="center" shrinkToFit="1"/>
    </xf>
    <xf numFmtId="0" fontId="17" fillId="0" borderId="32" xfId="0" applyFont="1" applyBorder="1" applyAlignment="1">
      <alignment horizontal="center" vertical="center" shrinkToFit="1"/>
    </xf>
    <xf numFmtId="0" fontId="18" fillId="0" borderId="79" xfId="0" applyFont="1" applyBorder="1" applyAlignment="1">
      <alignment horizontal="center" vertical="center" shrinkToFit="1"/>
    </xf>
    <xf numFmtId="0" fontId="17" fillId="0" borderId="69" xfId="0" applyFont="1" applyBorder="1" applyAlignment="1">
      <alignment vertical="center" wrapText="1" shrinkToFit="1"/>
    </xf>
    <xf numFmtId="0" fontId="18" fillId="0" borderId="12" xfId="0" applyFont="1" applyBorder="1" applyAlignment="1">
      <alignment vertical="center" wrapText="1" shrinkToFit="1"/>
    </xf>
    <xf numFmtId="0" fontId="18" fillId="0" borderId="46" xfId="0" applyFont="1" applyBorder="1" applyAlignment="1">
      <alignment vertical="center" wrapText="1" shrinkToFit="1"/>
    </xf>
    <xf numFmtId="0" fontId="18" fillId="0" borderId="32" xfId="0" applyFont="1" applyBorder="1" applyAlignment="1">
      <alignment vertical="center" wrapText="1" shrinkToFit="1"/>
    </xf>
    <xf numFmtId="0" fontId="17" fillId="0" borderId="77" xfId="0" applyFont="1" applyBorder="1" applyAlignment="1">
      <alignment horizontal="center" vertical="center" wrapText="1" shrinkToFit="1"/>
    </xf>
    <xf numFmtId="0" fontId="17" fillId="0" borderId="12" xfId="0" applyFont="1" applyBorder="1" applyAlignment="1">
      <alignment horizontal="center" vertical="center" wrapText="1" shrinkToFit="1"/>
    </xf>
    <xf numFmtId="0" fontId="17" fillId="0" borderId="76" xfId="0" applyFont="1" applyBorder="1" applyAlignment="1">
      <alignment horizontal="center" vertical="center" wrapText="1" shrinkToFit="1"/>
    </xf>
    <xf numFmtId="0" fontId="18" fillId="0" borderId="78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 shrinkToFit="1"/>
    </xf>
    <xf numFmtId="38" fontId="22" fillId="0" borderId="56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6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7" fillId="0" borderId="73" xfId="0" applyNumberFormat="1" applyFont="1" applyBorder="1" applyAlignment="1">
      <alignment horizontal="center" vertical="center" shrinkToFit="1"/>
    </xf>
    <xf numFmtId="0" fontId="18" fillId="0" borderId="74" xfId="0" applyFont="1" applyBorder="1" applyAlignment="1">
      <alignment horizontal="center" vertical="center" shrinkToFit="1"/>
    </xf>
    <xf numFmtId="0" fontId="18" fillId="0" borderId="75" xfId="0" applyFont="1" applyBorder="1" applyAlignment="1">
      <alignment horizontal="center" vertical="center" shrinkToFit="1"/>
    </xf>
    <xf numFmtId="0" fontId="24" fillId="0" borderId="69" xfId="0" applyFont="1" applyBorder="1" applyAlignment="1">
      <alignment vertical="center" wrapText="1" shrinkToFit="1"/>
    </xf>
    <xf numFmtId="0" fontId="24" fillId="0" borderId="12" xfId="0" applyFont="1" applyBorder="1" applyAlignment="1">
      <alignment vertical="center" wrapText="1" shrinkToFit="1"/>
    </xf>
    <xf numFmtId="3" fontId="17" fillId="0" borderId="77" xfId="0" applyNumberFormat="1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 shrinkToFit="1"/>
    </xf>
    <xf numFmtId="0" fontId="18" fillId="0" borderId="3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1" fillId="0" borderId="69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70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8" fillId="0" borderId="71" xfId="0" applyFont="1" applyBorder="1" applyAlignment="1">
      <alignment horizontal="center" vertical="center"/>
    </xf>
    <xf numFmtId="0" fontId="18" fillId="0" borderId="86" xfId="0" applyFont="1" applyBorder="1" applyAlignment="1">
      <alignment horizontal="center" vertical="center"/>
    </xf>
    <xf numFmtId="0" fontId="18" fillId="0" borderId="87" xfId="0" applyFont="1" applyBorder="1" applyAlignment="1">
      <alignment horizontal="center" vertical="center"/>
    </xf>
    <xf numFmtId="165" fontId="21" fillId="0" borderId="31" xfId="0" applyNumberFormat="1" applyFont="1" applyBorder="1" applyAlignment="1">
      <alignment horizontal="center" vertical="center" shrinkToFit="1"/>
    </xf>
    <xf numFmtId="0" fontId="18" fillId="0" borderId="31" xfId="0" applyFont="1" applyBorder="1" applyAlignment="1">
      <alignment horizontal="center" vertical="center" shrinkToFit="1"/>
    </xf>
    <xf numFmtId="0" fontId="18" fillId="0" borderId="72" xfId="0" applyFont="1" applyBorder="1" applyAlignment="1">
      <alignment horizontal="center" vertical="center"/>
    </xf>
    <xf numFmtId="0" fontId="18" fillId="0" borderId="88" xfId="0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165" fontId="21" fillId="0" borderId="58" xfId="0" applyNumberFormat="1" applyFont="1" applyBorder="1" applyAlignment="1">
      <alignment horizontal="center" vertical="center"/>
    </xf>
    <xf numFmtId="0" fontId="0" fillId="0" borderId="74" xfId="0" applyBorder="1" applyAlignment="1">
      <alignment horizontal="center" vertical="center" shrinkToFit="1"/>
    </xf>
    <xf numFmtId="0" fontId="0" fillId="0" borderId="75" xfId="0" applyBorder="1" applyAlignment="1">
      <alignment horizontal="center" vertical="center" shrinkToFit="1"/>
    </xf>
    <xf numFmtId="0" fontId="24" fillId="0" borderId="76" xfId="0" applyFont="1" applyBorder="1" applyAlignment="1">
      <alignment vertical="center" wrapText="1" shrinkToFit="1"/>
    </xf>
    <xf numFmtId="0" fontId="0" fillId="0" borderId="12" xfId="0" applyBorder="1" applyAlignment="1">
      <alignment horizontal="center" vertical="center" shrinkToFit="1"/>
    </xf>
    <xf numFmtId="0" fontId="0" fillId="0" borderId="76" xfId="0" applyBorder="1" applyAlignment="1">
      <alignment horizontal="center" vertical="center" shrinkToFit="1"/>
    </xf>
    <xf numFmtId="0" fontId="29" fillId="0" borderId="85" xfId="0" applyFont="1" applyBorder="1" applyAlignment="1">
      <alignment horizontal="center" vertical="center"/>
    </xf>
    <xf numFmtId="0" fontId="29" fillId="0" borderId="9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 shrinkToFit="1"/>
    </xf>
    <xf numFmtId="0" fontId="18" fillId="0" borderId="70" xfId="0" applyFont="1" applyBorder="1" applyAlignment="1">
      <alignment vertical="center" wrapText="1" shrinkToFit="1"/>
    </xf>
    <xf numFmtId="0" fontId="17" fillId="0" borderId="12" xfId="0" applyFont="1" applyBorder="1">
      <alignment vertical="center"/>
    </xf>
    <xf numFmtId="0" fontId="0" fillId="0" borderId="7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0" fontId="17" fillId="0" borderId="0" xfId="0" applyFont="1" applyAlignment="1">
      <alignment vertical="center" shrinkToFit="1"/>
    </xf>
    <xf numFmtId="0" fontId="21" fillId="0" borderId="12" xfId="0" applyFont="1" applyBorder="1" applyAlignment="1">
      <alignment vertical="center" wrapText="1" shrinkToFit="1"/>
    </xf>
    <xf numFmtId="0" fontId="21" fillId="0" borderId="70" xfId="0" applyFont="1" applyBorder="1" applyAlignment="1">
      <alignment vertical="center" wrapText="1" shrinkToFit="1"/>
    </xf>
    <xf numFmtId="0" fontId="18" fillId="0" borderId="85" xfId="0" applyFont="1" applyBorder="1" applyAlignment="1">
      <alignment vertical="center" wrapText="1"/>
    </xf>
    <xf numFmtId="0" fontId="18" fillId="0" borderId="91" xfId="0" applyFont="1" applyBorder="1" applyAlignment="1">
      <alignment vertical="center" wrapText="1"/>
    </xf>
    <xf numFmtId="0" fontId="28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164" fontId="30" fillId="0" borderId="46" xfId="0" applyNumberFormat="1" applyFont="1" applyBorder="1" applyAlignment="1">
      <alignment horizontal="center" vertical="center" shrinkToFit="1"/>
    </xf>
    <xf numFmtId="0" fontId="31" fillId="0" borderId="27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 shrinkToFit="1"/>
    </xf>
    <xf numFmtId="38" fontId="31" fillId="0" borderId="32" xfId="0" applyNumberFormat="1" applyFont="1" applyBorder="1" applyAlignment="1">
      <alignment horizontal="center" vertical="center" shrinkToFit="1"/>
    </xf>
    <xf numFmtId="0" fontId="31" fillId="0" borderId="32" xfId="0" applyFont="1" applyBorder="1" applyAlignment="1">
      <alignment horizontal="center" vertical="center" shrinkToFit="1"/>
    </xf>
    <xf numFmtId="0" fontId="31" fillId="0" borderId="55" xfId="0" applyFont="1" applyBorder="1" applyAlignment="1">
      <alignment horizontal="center" vertical="center" shrinkToFit="1"/>
    </xf>
    <xf numFmtId="0" fontId="31" fillId="0" borderId="0" xfId="0" applyFont="1" applyAlignment="1">
      <alignment horizontal="center" vertical="center" shrinkToFit="1"/>
    </xf>
    <xf numFmtId="0" fontId="31" fillId="0" borderId="56" xfId="0" applyFont="1" applyBorder="1" applyAlignment="1">
      <alignment horizontal="center" vertical="center" shrinkToFit="1"/>
    </xf>
    <xf numFmtId="0" fontId="31" fillId="0" borderId="5" xfId="0" applyFont="1" applyBorder="1" applyAlignment="1">
      <alignment horizontal="center" vertical="center" shrinkToFit="1"/>
    </xf>
    <xf numFmtId="0" fontId="31" fillId="0" borderId="57" xfId="0" applyFont="1" applyBorder="1" applyAlignment="1">
      <alignment horizontal="center" vertical="center" shrinkToFit="1"/>
    </xf>
    <xf numFmtId="0" fontId="17" fillId="0" borderId="77" xfId="0" applyFont="1" applyBorder="1" applyAlignment="1">
      <alignment vertical="center" shrinkToFit="1"/>
    </xf>
    <xf numFmtId="0" fontId="17" fillId="0" borderId="12" xfId="0" applyFont="1" applyBorder="1" applyAlignment="1">
      <alignment vertical="center" shrinkToFit="1"/>
    </xf>
    <xf numFmtId="0" fontId="18" fillId="0" borderId="76" xfId="0" applyFont="1" applyBorder="1" applyAlignment="1">
      <alignment vertical="center" shrinkToFit="1"/>
    </xf>
    <xf numFmtId="0" fontId="17" fillId="0" borderId="77" xfId="0" applyFont="1" applyBorder="1" applyAlignment="1">
      <alignment vertical="center" wrapText="1" shrinkToFit="1"/>
    </xf>
    <xf numFmtId="0" fontId="17" fillId="0" borderId="76" xfId="0" applyFont="1" applyBorder="1" applyAlignment="1">
      <alignment vertical="center" wrapText="1" shrinkToFit="1"/>
    </xf>
    <xf numFmtId="0" fontId="18" fillId="0" borderId="78" xfId="0" applyFont="1" applyBorder="1" applyAlignment="1">
      <alignment vertical="center" wrapText="1"/>
    </xf>
    <xf numFmtId="0" fontId="18" fillId="0" borderId="32" xfId="0" applyFont="1" applyBorder="1" applyAlignment="1">
      <alignment vertical="center" wrapText="1"/>
    </xf>
    <xf numFmtId="0" fontId="18" fillId="0" borderId="79" xfId="0" applyFont="1" applyBorder="1" applyAlignment="1">
      <alignment vertical="center" wrapText="1"/>
    </xf>
    <xf numFmtId="3" fontId="17" fillId="0" borderId="73" xfId="0" applyNumberFormat="1" applyFont="1" applyBorder="1" applyAlignment="1">
      <alignment vertical="center" shrinkToFit="1"/>
    </xf>
    <xf numFmtId="0" fontId="18" fillId="0" borderId="74" xfId="0" applyFont="1" applyBorder="1" applyAlignment="1">
      <alignment vertical="center" shrinkToFit="1"/>
    </xf>
    <xf numFmtId="0" fontId="18" fillId="0" borderId="75" xfId="0" applyFont="1" applyBorder="1" applyAlignment="1">
      <alignment vertical="center" shrinkToFit="1"/>
    </xf>
    <xf numFmtId="3" fontId="17" fillId="0" borderId="77" xfId="0" applyNumberFormat="1" applyFont="1" applyBorder="1" applyAlignment="1">
      <alignment vertical="center" shrinkToFit="1"/>
    </xf>
    <xf numFmtId="0" fontId="18" fillId="0" borderId="12" xfId="0" applyFont="1" applyBorder="1" applyAlignment="1">
      <alignment vertical="center" shrinkToFit="1"/>
    </xf>
    <xf numFmtId="0" fontId="17" fillId="0" borderId="82" xfId="0" applyFont="1" applyBorder="1" applyAlignment="1">
      <alignment vertical="center" wrapText="1"/>
    </xf>
    <xf numFmtId="0" fontId="17" fillId="0" borderId="81" xfId="0" applyFont="1" applyBorder="1" applyAlignment="1">
      <alignment vertical="center" wrapText="1"/>
    </xf>
    <xf numFmtId="0" fontId="17" fillId="0" borderId="83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28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14" fontId="0" fillId="0" borderId="0" xfId="0" applyNumberFormat="1" applyBorder="1" applyAlignment="1">
      <alignment vertical="center"/>
    </xf>
    <xf numFmtId="0" fontId="0" fillId="0" borderId="0" xfId="0" applyAlignment="1">
      <alignment vertical="center"/>
    </xf>
    <xf numFmtId="49" fontId="0" fillId="0" borderId="30" xfId="0" applyNumberFormat="1" applyBorder="1" applyAlignment="1">
      <alignment vertical="center"/>
    </xf>
    <xf numFmtId="49" fontId="0" fillId="0" borderId="31" xfId="0" applyNumberFormat="1" applyBorder="1" applyAlignment="1">
      <alignment vertical="center"/>
    </xf>
    <xf numFmtId="49" fontId="0" fillId="0" borderId="58" xfId="0" applyNumberFormat="1" applyBorder="1" applyAlignment="1">
      <alignment vertical="center"/>
    </xf>
    <xf numFmtId="49" fontId="0" fillId="0" borderId="28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52" xfId="0" applyNumberFormat="1" applyBorder="1" applyAlignment="1">
      <alignment vertical="center"/>
    </xf>
    <xf numFmtId="49" fontId="0" fillId="0" borderId="28" xfId="0" applyNumberFormat="1" applyBorder="1" applyAlignment="1">
      <alignment vertical="center" shrinkToFit="1"/>
    </xf>
    <xf numFmtId="49" fontId="0" fillId="0" borderId="4" xfId="0" applyNumberFormat="1" applyBorder="1" applyAlignment="1">
      <alignment vertical="center" shrinkToFit="1"/>
    </xf>
    <xf numFmtId="49" fontId="0" fillId="0" borderId="52" xfId="0" applyNumberFormat="1" applyBorder="1" applyAlignment="1">
      <alignment vertical="center" shrinkToFit="1"/>
    </xf>
    <xf numFmtId="0" fontId="0" fillId="0" borderId="3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4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3" xfId="0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0" fillId="0" borderId="6" xfId="0" applyNumberFormat="1" applyBorder="1" applyAlignment="1">
      <alignment vertical="center"/>
    </xf>
    <xf numFmtId="0" fontId="1" fillId="0" borderId="13" xfId="0" applyFont="1" applyBorder="1" applyAlignment="1"/>
    <xf numFmtId="0" fontId="0" fillId="0" borderId="13" xfId="0" applyBorder="1" applyAlignment="1"/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1" fillId="0" borderId="24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06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1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125730</xdr:colOff>
      <xdr:row>5</xdr:row>
      <xdr:rowOff>38100</xdr:rowOff>
    </xdr:from>
    <xdr:to>
      <xdr:col>12</xdr:col>
      <xdr:colOff>224782</xdr:colOff>
      <xdr:row>8</xdr:row>
      <xdr:rowOff>87671</xdr:rowOff>
    </xdr:to>
    <xdr:sp macro="" textlink="">
      <xdr:nvSpPr>
        <xdr:cNvPr id="5639" name="AutoShape 2"/>
        <xdr:cNvSpPr>
          <a:spLocks noChangeArrowheads="1"/>
        </xdr:cNvSpPr>
      </xdr:nvSpPr>
      <xdr:spPr>
        <a:xfrm>
          <a:off x="1935480" y="1000125"/>
          <a:ext cx="2670175" cy="697230"/>
        </a:xfrm>
        <a:prstGeom prst="wedgeRoundRectCallout">
          <a:avLst>
            <a:gd name="adj1" fmla="val -58542"/>
            <a:gd name="adj2" fmla="val 75676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If the actual address is the same as the registered address, please make ○ on "same as above".</a:t>
          </a:r>
        </a:p>
      </xdr:txBody>
    </xdr:sp>
    <xdr:clientData/>
  </xdr:twoCellAnchor>
  <xdr:twoCellAnchor>
    <xdr:from>
      <xdr:col>2</xdr:col>
      <xdr:colOff>127635</xdr:colOff>
      <xdr:row>12</xdr:row>
      <xdr:rowOff>66675</xdr:rowOff>
    </xdr:from>
    <xdr:to>
      <xdr:col>10</xdr:col>
      <xdr:colOff>9541</xdr:colOff>
      <xdr:row>15</xdr:row>
      <xdr:rowOff>47625</xdr:rowOff>
    </xdr:to>
    <xdr:sp macro="" textlink="">
      <xdr:nvSpPr>
        <xdr:cNvPr id="5640" name="AutoShape 3"/>
        <xdr:cNvSpPr>
          <a:spLocks noChangeArrowheads="1"/>
        </xdr:cNvSpPr>
      </xdr:nvSpPr>
      <xdr:spPr>
        <a:xfrm>
          <a:off x="851535" y="2495550"/>
          <a:ext cx="2682240" cy="466725"/>
        </a:xfrm>
        <a:prstGeom prst="wedgeRoundRectCallout">
          <a:avLst>
            <a:gd name="adj1" fmla="val -58542"/>
            <a:gd name="adj2" fmla="val 88778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Write the name of the sponsor even if he/she is not your parent.</a:t>
          </a:r>
        </a:p>
      </xdr:txBody>
    </xdr:sp>
    <xdr:clientData/>
  </xdr:twoCellAnchor>
  <xdr:twoCellAnchor>
    <xdr:from>
      <xdr:col>11</xdr:col>
      <xdr:colOff>165735</xdr:colOff>
      <xdr:row>14</xdr:row>
      <xdr:rowOff>144780</xdr:rowOff>
    </xdr:from>
    <xdr:to>
      <xdr:col>18</xdr:col>
      <xdr:colOff>243847</xdr:colOff>
      <xdr:row>16</xdr:row>
      <xdr:rowOff>200126</xdr:rowOff>
    </xdr:to>
    <xdr:sp macro="" textlink="">
      <xdr:nvSpPr>
        <xdr:cNvPr id="5641" name="AutoShape 4"/>
        <xdr:cNvSpPr>
          <a:spLocks noChangeArrowheads="1"/>
        </xdr:cNvSpPr>
      </xdr:nvSpPr>
      <xdr:spPr>
        <a:xfrm>
          <a:off x="4118610" y="2887980"/>
          <a:ext cx="2678430" cy="464820"/>
        </a:xfrm>
        <a:prstGeom prst="wedgeRoundRectCallout">
          <a:avLst>
            <a:gd name="adj1" fmla="val -58542"/>
            <a:gd name="adj2" fmla="val 88778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If the parents are divorced, describe "divorced" in this column.</a:t>
          </a:r>
        </a:p>
      </xdr:txBody>
    </xdr:sp>
    <xdr:clientData/>
  </xdr:twoCellAnchor>
  <xdr:twoCellAnchor>
    <xdr:from>
      <xdr:col>2</xdr:col>
      <xdr:colOff>224790</xdr:colOff>
      <xdr:row>18</xdr:row>
      <xdr:rowOff>85725</xdr:rowOff>
    </xdr:from>
    <xdr:to>
      <xdr:col>10</xdr:col>
      <xdr:colOff>99061</xdr:colOff>
      <xdr:row>20</xdr:row>
      <xdr:rowOff>76200</xdr:rowOff>
    </xdr:to>
    <xdr:sp macro="" textlink="">
      <xdr:nvSpPr>
        <xdr:cNvPr id="5642" name="AutoShape 5"/>
        <xdr:cNvSpPr>
          <a:spLocks noChangeArrowheads="1"/>
        </xdr:cNvSpPr>
      </xdr:nvSpPr>
      <xdr:spPr>
        <a:xfrm>
          <a:off x="948690" y="3714750"/>
          <a:ext cx="2674620" cy="466725"/>
        </a:xfrm>
        <a:prstGeom prst="wedgeRoundRectCallout">
          <a:avLst>
            <a:gd name="adj1" fmla="val -59963"/>
            <a:gd name="adj2" fmla="val 119389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Describe all of the registered family members.</a:t>
          </a:r>
        </a:p>
      </xdr:txBody>
    </xdr:sp>
    <xdr:clientData/>
  </xdr:twoCellAnchor>
  <xdr:twoCellAnchor>
    <xdr:from>
      <xdr:col>8</xdr:col>
      <xdr:colOff>361950</xdr:colOff>
      <xdr:row>46</xdr:row>
      <xdr:rowOff>85725</xdr:rowOff>
    </xdr:from>
    <xdr:to>
      <xdr:col>15</xdr:col>
      <xdr:colOff>243856</xdr:colOff>
      <xdr:row>48</xdr:row>
      <xdr:rowOff>133350</xdr:rowOff>
    </xdr:to>
    <xdr:sp macro="" textlink="">
      <xdr:nvSpPr>
        <xdr:cNvPr id="5643" name="AutoShape 6"/>
        <xdr:cNvSpPr>
          <a:spLocks noChangeArrowheads="1"/>
        </xdr:cNvSpPr>
      </xdr:nvSpPr>
      <xdr:spPr>
        <a:xfrm>
          <a:off x="3028950" y="9324975"/>
          <a:ext cx="2682240" cy="333375"/>
        </a:xfrm>
        <a:prstGeom prst="wedgeRoundRectCallout">
          <a:avLst>
            <a:gd name="adj1" fmla="val -40394"/>
            <a:gd name="adj2" fmla="val 95713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Choose one and put ○.</a:t>
          </a:r>
        </a:p>
      </xdr:txBody>
    </xdr:sp>
    <xdr:clientData/>
  </xdr:twoCellAnchor>
  <xdr:twoCellAnchor>
    <xdr:from>
      <xdr:col>3</xdr:col>
      <xdr:colOff>243840</xdr:colOff>
      <xdr:row>62</xdr:row>
      <xdr:rowOff>123825</xdr:rowOff>
    </xdr:from>
    <xdr:to>
      <xdr:col>10</xdr:col>
      <xdr:colOff>165743</xdr:colOff>
      <xdr:row>65</xdr:row>
      <xdr:rowOff>125814</xdr:rowOff>
    </xdr:to>
    <xdr:sp macro="" textlink="">
      <xdr:nvSpPr>
        <xdr:cNvPr id="5644" name="AutoShape 7"/>
        <xdr:cNvSpPr>
          <a:spLocks noChangeArrowheads="1"/>
        </xdr:cNvSpPr>
      </xdr:nvSpPr>
      <xdr:spPr>
        <a:xfrm>
          <a:off x="1329690" y="12458700"/>
          <a:ext cx="2360295" cy="516255"/>
        </a:xfrm>
        <a:prstGeom prst="wedgeRoundRectCallout">
          <a:avLst>
            <a:gd name="adj1" fmla="val -42338"/>
            <a:gd name="adj2" fmla="val 80907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Put ○ if the applicant does not have his/her passport.</a:t>
          </a:r>
        </a:p>
      </xdr:txBody>
    </xdr:sp>
    <xdr:clientData/>
  </xdr:twoCellAnchor>
  <xdr:twoCellAnchor>
    <xdr:from>
      <xdr:col>10</xdr:col>
      <xdr:colOff>361950</xdr:colOff>
      <xdr:row>70</xdr:row>
      <xdr:rowOff>106680</xdr:rowOff>
    </xdr:from>
    <xdr:to>
      <xdr:col>18</xdr:col>
      <xdr:colOff>9615</xdr:colOff>
      <xdr:row>72</xdr:row>
      <xdr:rowOff>95260</xdr:rowOff>
    </xdr:to>
    <xdr:sp macro="" textlink="">
      <xdr:nvSpPr>
        <xdr:cNvPr id="5645" name="AutoShape 8"/>
        <xdr:cNvSpPr>
          <a:spLocks noChangeArrowheads="1"/>
        </xdr:cNvSpPr>
      </xdr:nvSpPr>
      <xdr:spPr>
        <a:xfrm>
          <a:off x="3886200" y="14041755"/>
          <a:ext cx="2676525" cy="331470"/>
        </a:xfrm>
        <a:prstGeom prst="wedgeRoundRectCallout">
          <a:avLst>
            <a:gd name="adj1" fmla="val -12278"/>
            <a:gd name="adj2" fmla="val 95713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Choose one and put ○.</a:t>
          </a:r>
        </a:p>
      </xdr:txBody>
    </xdr:sp>
    <xdr:clientData/>
  </xdr:twoCellAnchor>
  <xdr:twoCellAnchor>
    <xdr:from>
      <xdr:col>3</xdr:col>
      <xdr:colOff>89535</xdr:colOff>
      <xdr:row>83</xdr:row>
      <xdr:rowOff>219075</xdr:rowOff>
    </xdr:from>
    <xdr:to>
      <xdr:col>10</xdr:col>
      <xdr:colOff>331485</xdr:colOff>
      <xdr:row>86</xdr:row>
      <xdr:rowOff>85725</xdr:rowOff>
    </xdr:to>
    <xdr:sp macro="" textlink="">
      <xdr:nvSpPr>
        <xdr:cNvPr id="5646" name="AutoShape 9"/>
        <xdr:cNvSpPr>
          <a:spLocks noChangeArrowheads="1"/>
        </xdr:cNvSpPr>
      </xdr:nvSpPr>
      <xdr:spPr>
        <a:xfrm>
          <a:off x="1175385" y="17230725"/>
          <a:ext cx="2680335" cy="704850"/>
        </a:xfrm>
        <a:prstGeom prst="wedgeRoundRectCallout">
          <a:avLst>
            <a:gd name="adj1" fmla="val -56759"/>
            <a:gd name="adj2" fmla="val 12162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If the actual address is the same as the registered address, please make ○ on "same as above".</a:t>
          </a:r>
        </a:p>
      </xdr:txBody>
    </xdr:sp>
    <xdr:clientData/>
  </xdr:twoCellAnchor>
  <xdr:twoCellAnchor>
    <xdr:from>
      <xdr:col>6</xdr:col>
      <xdr:colOff>87630</xdr:colOff>
      <xdr:row>92</xdr:row>
      <xdr:rowOff>152400</xdr:rowOff>
    </xdr:from>
    <xdr:to>
      <xdr:col>13</xdr:col>
      <xdr:colOff>116205</xdr:colOff>
      <xdr:row>95</xdr:row>
      <xdr:rowOff>0</xdr:rowOff>
    </xdr:to>
    <xdr:sp macro="" textlink="">
      <xdr:nvSpPr>
        <xdr:cNvPr id="5647" name="AutoShape 10"/>
        <xdr:cNvSpPr>
          <a:spLocks noChangeArrowheads="1"/>
        </xdr:cNvSpPr>
      </xdr:nvSpPr>
      <xdr:spPr>
        <a:xfrm>
          <a:off x="2183130" y="19516725"/>
          <a:ext cx="2676525" cy="523875"/>
        </a:xfrm>
        <a:prstGeom prst="wedgeRoundRectCallout">
          <a:avLst>
            <a:gd name="adj1" fmla="val -46440"/>
            <a:gd name="adj2" fmla="val 93634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If you have no family members in Japan, put ○ on "NONE".</a:t>
          </a:r>
        </a:p>
      </xdr:txBody>
    </xdr:sp>
    <xdr:clientData/>
  </xdr:twoCellAnchor>
  <xdr:twoCellAnchor>
    <xdr:from>
      <xdr:col>4</xdr:col>
      <xdr:colOff>253365</xdr:colOff>
      <xdr:row>98</xdr:row>
      <xdr:rowOff>104775</xdr:rowOff>
    </xdr:from>
    <xdr:to>
      <xdr:col>11</xdr:col>
      <xdr:colOff>175267</xdr:colOff>
      <xdr:row>99</xdr:row>
      <xdr:rowOff>66675</xdr:rowOff>
    </xdr:to>
    <xdr:sp macro="" textlink="">
      <xdr:nvSpPr>
        <xdr:cNvPr id="5648" name="AutoShape 11"/>
        <xdr:cNvSpPr>
          <a:spLocks noChangeArrowheads="1"/>
        </xdr:cNvSpPr>
      </xdr:nvSpPr>
      <xdr:spPr>
        <a:xfrm>
          <a:off x="1701165" y="20774025"/>
          <a:ext cx="2426970" cy="342900"/>
        </a:xfrm>
        <a:prstGeom prst="wedgeRoundRectCallout">
          <a:avLst>
            <a:gd name="adj1" fmla="val 61370"/>
            <a:gd name="adj2" fmla="val -25000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Choose YES or NO and put ○.</a:t>
          </a:r>
        </a:p>
      </xdr:txBody>
    </xdr:sp>
    <xdr:clientData/>
  </xdr:twoCellAnchor>
  <xdr:twoCellAnchor>
    <xdr:from>
      <xdr:col>5</xdr:col>
      <xdr:colOff>47625</xdr:colOff>
      <xdr:row>99</xdr:row>
      <xdr:rowOff>354330</xdr:rowOff>
    </xdr:from>
    <xdr:to>
      <xdr:col>11</xdr:col>
      <xdr:colOff>331500</xdr:colOff>
      <xdr:row>100</xdr:row>
      <xdr:rowOff>257228</xdr:rowOff>
    </xdr:to>
    <xdr:sp macro="" textlink="">
      <xdr:nvSpPr>
        <xdr:cNvPr id="5649" name="AutoShape 12"/>
        <xdr:cNvSpPr>
          <a:spLocks noChangeArrowheads="1"/>
        </xdr:cNvSpPr>
      </xdr:nvSpPr>
      <xdr:spPr>
        <a:xfrm>
          <a:off x="1857375" y="21404580"/>
          <a:ext cx="2426970" cy="283845"/>
        </a:xfrm>
        <a:prstGeom prst="wedgeRoundRectCallout">
          <a:avLst>
            <a:gd name="adj1" fmla="val -6472"/>
            <a:gd name="adj2" fmla="val 170690"/>
            <a:gd name="adj3" fmla="val 16667"/>
          </a:avLst>
        </a:prstGeom>
        <a:solidFill>
          <a:srgbClr val="FFFFFF"/>
        </a:solidFill>
        <a:ln w="9525" cmpd="sng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 panose="020B0600070205080204" charset="-128"/>
              <a:ea typeface="ＭＳ Ｐゴシック" panose="020B0600070205080204" charset="-128"/>
            </a:rPr>
            <a:t>Choose YES or NO and put ○.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329711</xdr:colOff>
      <xdr:row>93</xdr:row>
      <xdr:rowOff>161192</xdr:rowOff>
    </xdr:from>
    <xdr:to>
      <xdr:col>6</xdr:col>
      <xdr:colOff>205154</xdr:colOff>
      <xdr:row>95</xdr:row>
      <xdr:rowOff>36635</xdr:rowOff>
    </xdr:to>
    <xdr:sp macro="" textlink="">
      <xdr:nvSpPr>
        <xdr:cNvPr id="3" name="TextBox 2"/>
        <xdr:cNvSpPr txBox="1"/>
      </xdr:nvSpPr>
      <xdr:spPr>
        <a:xfrm>
          <a:off x="1765788" y="19533577"/>
          <a:ext cx="520212" cy="212481"/>
        </a:xfrm>
        <a:prstGeom prst="rect">
          <a:avLst/>
        </a:prstGeom>
        <a:noFill/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168519</xdr:colOff>
      <xdr:row>99</xdr:row>
      <xdr:rowOff>87923</xdr:rowOff>
    </xdr:from>
    <xdr:to>
      <xdr:col>8</xdr:col>
      <xdr:colOff>168519</xdr:colOff>
      <xdr:row>101</xdr:row>
      <xdr:rowOff>51288</xdr:rowOff>
    </xdr:to>
    <xdr:sp macro="" textlink="">
      <xdr:nvSpPr>
        <xdr:cNvPr id="4" name="Oval 3"/>
        <xdr:cNvSpPr/>
      </xdr:nvSpPr>
      <xdr:spPr>
        <a:xfrm>
          <a:off x="2535115" y="21226096"/>
          <a:ext cx="285750" cy="30040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432288</xdr:colOff>
      <xdr:row>71</xdr:row>
      <xdr:rowOff>0</xdr:rowOff>
    </xdr:from>
    <xdr:to>
      <xdr:col>13</xdr:col>
      <xdr:colOff>58615</xdr:colOff>
      <xdr:row>71</xdr:row>
      <xdr:rowOff>300404</xdr:rowOff>
    </xdr:to>
    <xdr:sp macro="" textlink="">
      <xdr:nvSpPr>
        <xdr:cNvPr id="5" name="Oval 4"/>
        <xdr:cNvSpPr/>
      </xdr:nvSpPr>
      <xdr:spPr>
        <a:xfrm>
          <a:off x="3949211" y="13803923"/>
          <a:ext cx="849923" cy="30040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25066</xdr:colOff>
      <xdr:row>4</xdr:row>
      <xdr:rowOff>170447</xdr:rowOff>
    </xdr:from>
    <xdr:to>
      <xdr:col>15</xdr:col>
      <xdr:colOff>351307</xdr:colOff>
      <xdr:row>5</xdr:row>
      <xdr:rowOff>235618</xdr:rowOff>
    </xdr:to>
    <xdr:sp macro="" textlink="">
      <xdr:nvSpPr>
        <xdr:cNvPr id="6" name="Oval 5"/>
        <xdr:cNvSpPr/>
      </xdr:nvSpPr>
      <xdr:spPr>
        <a:xfrm flipV="1">
          <a:off x="5133474" y="907381"/>
          <a:ext cx="687188" cy="23561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36634</xdr:colOff>
      <xdr:row>49</xdr:row>
      <xdr:rowOff>21981</xdr:rowOff>
    </xdr:from>
    <xdr:to>
      <xdr:col>4</xdr:col>
      <xdr:colOff>351691</xdr:colOff>
      <xdr:row>51</xdr:row>
      <xdr:rowOff>7327</xdr:rowOff>
    </xdr:to>
    <xdr:sp macro="" textlink="">
      <xdr:nvSpPr>
        <xdr:cNvPr id="8" name="Rectangle 7"/>
        <xdr:cNvSpPr/>
      </xdr:nvSpPr>
      <xdr:spPr>
        <a:xfrm>
          <a:off x="36634" y="9598269"/>
          <a:ext cx="1751134" cy="32238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131886</xdr:colOff>
      <xdr:row>55</xdr:row>
      <xdr:rowOff>21982</xdr:rowOff>
    </xdr:from>
    <xdr:to>
      <xdr:col>13</xdr:col>
      <xdr:colOff>14655</xdr:colOff>
      <xdr:row>56</xdr:row>
      <xdr:rowOff>279918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1098" y="10616713"/>
          <a:ext cx="674076" cy="419128"/>
        </a:xfrm>
        <a:prstGeom prst="rect">
          <a:avLst/>
        </a:prstGeom>
      </xdr:spPr>
    </xdr:pic>
    <xdr:clientData/>
  </xdr:twoCellAnchor>
  <xdr:twoCellAnchor editAs="oneCell">
    <xdr:from>
      <xdr:col>15</xdr:col>
      <xdr:colOff>337038</xdr:colOff>
      <xdr:row>1</xdr:row>
      <xdr:rowOff>73270</xdr:rowOff>
    </xdr:from>
    <xdr:to>
      <xdr:col>19</xdr:col>
      <xdr:colOff>42027</xdr:colOff>
      <xdr:row>9</xdr:row>
      <xdr:rowOff>14654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5596" y="315058"/>
          <a:ext cx="1141066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247650</xdr:colOff>
      <xdr:row>6</xdr:row>
      <xdr:rowOff>276225</xdr:rowOff>
    </xdr:from>
    <xdr:to>
      <xdr:col>20</xdr:col>
      <xdr:colOff>228600</xdr:colOff>
      <xdr:row>8</xdr:row>
      <xdr:rowOff>5129</xdr:rowOff>
    </xdr:to>
    <xdr:sp macro="" textlink="">
      <xdr:nvSpPr>
        <xdr:cNvPr id="2" name="Oval 1"/>
        <xdr:cNvSpPr/>
      </xdr:nvSpPr>
      <xdr:spPr>
        <a:xfrm>
          <a:off x="5562600" y="1647825"/>
          <a:ext cx="571500" cy="30040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5"/>
  <sheetViews>
    <sheetView topLeftCell="A22" workbookViewId="0">
      <selection activeCell="A5" sqref="A5:S5"/>
    </sheetView>
  </sheetViews>
  <sheetFormatPr defaultColWidth="9" defaultRowHeight="13.5"/>
  <cols>
    <col min="1" max="2" width="5" style="1" customWidth="1"/>
    <col min="3" max="6" width="3.625" style="1" customWidth="1"/>
    <col min="7" max="7" width="8" style="1" customWidth="1"/>
    <col min="8" max="15" width="3.625" style="1" customWidth="1"/>
    <col min="16" max="16" width="4.75" style="1" customWidth="1"/>
    <col min="17" max="17" width="6.875" style="1" customWidth="1"/>
    <col min="18" max="18" width="5.75" style="1" customWidth="1"/>
    <col min="19" max="19" width="5.125" style="1" customWidth="1"/>
    <col min="20" max="20" width="6.875" style="1" customWidth="1"/>
    <col min="21" max="65" width="3.625" style="1" customWidth="1"/>
    <col min="66" max="16384" width="9" style="1"/>
  </cols>
  <sheetData>
    <row r="1" spans="1:20" ht="18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5"/>
    </row>
    <row r="2" spans="1:20" ht="14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</row>
    <row r="3" spans="1:20" ht="22.5" customHeight="1">
      <c r="A3" s="216" t="s">
        <v>1</v>
      </c>
      <c r="B3" s="217"/>
      <c r="C3" s="226"/>
      <c r="D3" s="226"/>
      <c r="E3" s="226"/>
      <c r="F3" s="226"/>
      <c r="G3" s="226"/>
      <c r="H3" s="226"/>
      <c r="I3" s="177" t="s">
        <v>2</v>
      </c>
      <c r="J3" s="218" t="s">
        <v>3</v>
      </c>
      <c r="K3" s="219"/>
      <c r="L3" s="220"/>
      <c r="M3" s="220"/>
      <c r="N3" s="220"/>
      <c r="O3" s="221"/>
      <c r="P3" s="229" t="s">
        <v>4</v>
      </c>
      <c r="Q3" s="230"/>
      <c r="R3" s="233" t="s">
        <v>5</v>
      </c>
      <c r="S3" s="234"/>
      <c r="T3" s="181"/>
    </row>
    <row r="4" spans="1:20" ht="18.75" customHeight="1">
      <c r="A4" s="222" t="s">
        <v>6</v>
      </c>
      <c r="B4" s="223"/>
      <c r="C4" s="227"/>
      <c r="D4" s="228"/>
      <c r="E4" s="228"/>
      <c r="F4" s="228"/>
      <c r="G4" s="228"/>
      <c r="H4" s="228"/>
      <c r="I4" s="178" t="s">
        <v>7</v>
      </c>
      <c r="J4" s="224" t="s">
        <v>8</v>
      </c>
      <c r="K4" s="225"/>
      <c r="L4" s="225"/>
      <c r="M4" s="179"/>
      <c r="N4" s="179"/>
      <c r="O4" s="180"/>
      <c r="P4" s="231"/>
      <c r="Q4" s="232"/>
      <c r="R4" s="225"/>
      <c r="S4" s="235"/>
      <c r="T4" s="183"/>
    </row>
    <row r="5" spans="1:20" ht="20.25" customHeight="1">
      <c r="A5" s="236" t="s">
        <v>9</v>
      </c>
      <c r="B5" s="237"/>
      <c r="C5" s="236" t="s">
        <v>10</v>
      </c>
      <c r="D5" s="238"/>
      <c r="E5" s="238"/>
      <c r="F5" s="238"/>
      <c r="G5" s="238"/>
      <c r="H5" s="238"/>
      <c r="I5" s="239"/>
      <c r="J5" s="240" t="s">
        <v>11</v>
      </c>
      <c r="K5" s="241"/>
      <c r="L5" s="241"/>
      <c r="M5" s="241"/>
      <c r="N5" s="241"/>
      <c r="O5" s="241"/>
      <c r="P5" s="241"/>
      <c r="Q5" s="241"/>
      <c r="R5" s="241"/>
      <c r="S5" s="242"/>
      <c r="T5" s="182"/>
    </row>
    <row r="6" spans="1:20" ht="18" customHeight="1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</row>
    <row r="7" spans="1:20" ht="14.25">
      <c r="A7" s="155" t="s">
        <v>12</v>
      </c>
      <c r="B7" s="156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</row>
    <row r="8" spans="1:20" ht="14.25">
      <c r="A8" s="155" t="s">
        <v>13</v>
      </c>
      <c r="B8" s="156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</row>
    <row r="9" spans="1:20" ht="14.25">
      <c r="A9" s="155" t="s">
        <v>14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</row>
    <row r="10" spans="1:20" ht="14.25">
      <c r="A10" s="243" t="s">
        <v>15</v>
      </c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124"/>
    </row>
    <row r="11" spans="1:20" ht="14.25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</row>
    <row r="12" spans="1:20" ht="28.5" customHeight="1">
      <c r="A12" s="245" t="s">
        <v>16</v>
      </c>
      <c r="B12" s="238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184" t="s">
        <v>17</v>
      </c>
      <c r="S12" s="185" t="s">
        <v>18</v>
      </c>
      <c r="T12" s="186" t="s">
        <v>19</v>
      </c>
    </row>
    <row r="13" spans="1:20" ht="15" customHeight="1">
      <c r="A13" s="252" t="s">
        <v>20</v>
      </c>
      <c r="B13" s="257" t="s">
        <v>21</v>
      </c>
      <c r="C13" s="157">
        <v>1</v>
      </c>
      <c r="D13" s="263" t="s">
        <v>22</v>
      </c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5"/>
      <c r="R13" s="187"/>
      <c r="S13" s="188" t="s">
        <v>23</v>
      </c>
      <c r="T13" s="189"/>
    </row>
    <row r="14" spans="1:20" ht="15" customHeight="1">
      <c r="A14" s="253"/>
      <c r="B14" s="257"/>
      <c r="C14" s="158">
        <v>2</v>
      </c>
      <c r="D14" s="159" t="s">
        <v>24</v>
      </c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90"/>
      <c r="R14" s="191"/>
      <c r="S14" s="192" t="s">
        <v>23</v>
      </c>
      <c r="T14" s="193"/>
    </row>
    <row r="15" spans="1:20" ht="15" customHeight="1">
      <c r="A15" s="253"/>
      <c r="B15" s="257"/>
      <c r="C15" s="158">
        <v>3</v>
      </c>
      <c r="D15" s="159" t="s">
        <v>25</v>
      </c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90"/>
      <c r="R15" s="191"/>
      <c r="S15" s="192" t="s">
        <v>23</v>
      </c>
      <c r="T15" s="193"/>
    </row>
    <row r="16" spans="1:20" ht="15" customHeight="1">
      <c r="A16" s="253"/>
      <c r="B16" s="257"/>
      <c r="C16" s="158">
        <v>4</v>
      </c>
      <c r="D16" s="159" t="s">
        <v>26</v>
      </c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90"/>
      <c r="R16" s="191"/>
      <c r="S16" s="194"/>
      <c r="T16" s="193"/>
    </row>
    <row r="17" spans="1:20" ht="15" customHeight="1">
      <c r="A17" s="253"/>
      <c r="B17" s="257"/>
      <c r="C17" s="158">
        <v>5</v>
      </c>
      <c r="D17" s="159" t="s">
        <v>27</v>
      </c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90"/>
      <c r="R17" s="191"/>
      <c r="S17" s="192"/>
      <c r="T17" s="193"/>
    </row>
    <row r="18" spans="1:20" ht="15" customHeight="1">
      <c r="A18" s="253"/>
      <c r="B18" s="257"/>
      <c r="C18" s="158">
        <v>6</v>
      </c>
      <c r="D18" s="159" t="s">
        <v>28</v>
      </c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90"/>
      <c r="R18" s="191"/>
      <c r="S18" s="194"/>
      <c r="T18" s="193"/>
    </row>
    <row r="19" spans="1:20" ht="15" customHeight="1">
      <c r="A19" s="253"/>
      <c r="B19" s="257"/>
      <c r="C19" s="158">
        <v>7</v>
      </c>
      <c r="D19" s="159" t="s">
        <v>29</v>
      </c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90"/>
      <c r="R19" s="191"/>
      <c r="S19" s="192"/>
      <c r="T19" s="193"/>
    </row>
    <row r="20" spans="1:20" ht="15" customHeight="1">
      <c r="A20" s="253"/>
      <c r="B20" s="257"/>
      <c r="C20" s="158">
        <v>8</v>
      </c>
      <c r="D20" s="159" t="s">
        <v>30</v>
      </c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90"/>
      <c r="R20" s="191"/>
      <c r="S20" s="192"/>
      <c r="T20" s="193"/>
    </row>
    <row r="21" spans="1:20" ht="15" customHeight="1">
      <c r="A21" s="253"/>
      <c r="B21" s="257"/>
      <c r="C21" s="158">
        <v>9</v>
      </c>
      <c r="D21" s="159" t="s">
        <v>31</v>
      </c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90"/>
      <c r="R21" s="191"/>
      <c r="S21" s="192"/>
      <c r="T21" s="193"/>
    </row>
    <row r="22" spans="1:20" ht="15" customHeight="1">
      <c r="A22" s="253"/>
      <c r="B22" s="257"/>
      <c r="C22" s="158">
        <v>10</v>
      </c>
      <c r="D22" s="266" t="s">
        <v>32</v>
      </c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8"/>
      <c r="R22" s="191"/>
      <c r="S22" s="192" t="s">
        <v>23</v>
      </c>
      <c r="T22" s="193"/>
    </row>
    <row r="23" spans="1:20" ht="15" customHeight="1">
      <c r="A23" s="253"/>
      <c r="B23" s="257"/>
      <c r="C23" s="158">
        <v>11</v>
      </c>
      <c r="D23" s="266" t="s">
        <v>33</v>
      </c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8"/>
      <c r="R23" s="191"/>
      <c r="S23" s="192" t="s">
        <v>23</v>
      </c>
      <c r="T23" s="193"/>
    </row>
    <row r="24" spans="1:20" ht="15" customHeight="1">
      <c r="A24" s="253"/>
      <c r="B24" s="257"/>
      <c r="C24" s="158">
        <v>12</v>
      </c>
      <c r="D24" s="269" t="s">
        <v>34</v>
      </c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190"/>
      <c r="R24" s="191"/>
      <c r="S24" s="194"/>
      <c r="T24" s="193"/>
    </row>
    <row r="25" spans="1:20" ht="15" customHeight="1">
      <c r="A25" s="253"/>
      <c r="B25" s="257"/>
      <c r="C25" s="158">
        <v>13</v>
      </c>
      <c r="D25" s="159" t="s">
        <v>35</v>
      </c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90"/>
      <c r="R25" s="191"/>
      <c r="S25" s="194"/>
      <c r="T25" s="193"/>
    </row>
    <row r="26" spans="1:20" ht="15" customHeight="1">
      <c r="A26" s="253"/>
      <c r="B26" s="257"/>
      <c r="C26" s="158">
        <v>14</v>
      </c>
      <c r="D26" s="160" t="s">
        <v>36</v>
      </c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95"/>
      <c r="R26" s="196"/>
      <c r="S26" s="197"/>
      <c r="T26" s="198"/>
    </row>
    <row r="27" spans="1:20" ht="15" customHeight="1">
      <c r="A27" s="253"/>
      <c r="B27" s="258"/>
      <c r="C27" s="158">
        <v>15</v>
      </c>
      <c r="D27" s="162" t="s">
        <v>37</v>
      </c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99"/>
      <c r="R27" s="200"/>
      <c r="S27" s="197" t="s">
        <v>23</v>
      </c>
      <c r="T27" s="201"/>
    </row>
    <row r="28" spans="1:20" ht="15" customHeight="1">
      <c r="A28" s="253"/>
      <c r="B28" s="257" t="s">
        <v>9</v>
      </c>
      <c r="C28" s="157">
        <v>16</v>
      </c>
      <c r="D28" s="164" t="s">
        <v>38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202"/>
      <c r="R28" s="187"/>
      <c r="S28" s="203"/>
      <c r="T28" s="204"/>
    </row>
    <row r="29" spans="1:20" ht="15" customHeight="1">
      <c r="A29" s="253"/>
      <c r="B29" s="257"/>
      <c r="C29" s="158">
        <v>17</v>
      </c>
      <c r="D29" s="166" t="s">
        <v>39</v>
      </c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90"/>
      <c r="R29" s="191"/>
      <c r="S29" s="192" t="s">
        <v>23</v>
      </c>
      <c r="T29" s="205"/>
    </row>
    <row r="30" spans="1:20" ht="15" customHeight="1">
      <c r="A30" s="253"/>
      <c r="B30" s="257"/>
      <c r="C30" s="158">
        <v>18</v>
      </c>
      <c r="D30" s="246" t="s">
        <v>40</v>
      </c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8"/>
      <c r="R30" s="191"/>
      <c r="S30" s="192" t="s">
        <v>23</v>
      </c>
      <c r="T30" s="193"/>
    </row>
    <row r="31" spans="1:20" ht="15" customHeight="1">
      <c r="A31" s="253"/>
      <c r="B31" s="257"/>
      <c r="C31" s="158">
        <v>19</v>
      </c>
      <c r="D31" s="166" t="s">
        <v>41</v>
      </c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90"/>
      <c r="R31" s="191"/>
      <c r="S31" s="194"/>
      <c r="T31" s="205"/>
    </row>
    <row r="32" spans="1:20" ht="15" customHeight="1">
      <c r="A32" s="253"/>
      <c r="B32" s="257"/>
      <c r="C32" s="158">
        <v>20</v>
      </c>
      <c r="D32" s="166" t="s">
        <v>34</v>
      </c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90"/>
      <c r="R32" s="191"/>
      <c r="S32" s="194"/>
      <c r="T32" s="205"/>
    </row>
    <row r="33" spans="1:20" ht="15" customHeight="1">
      <c r="A33" s="253"/>
      <c r="B33" s="257"/>
      <c r="C33" s="158">
        <v>21</v>
      </c>
      <c r="D33" s="166" t="s">
        <v>42</v>
      </c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90"/>
      <c r="R33" s="191"/>
      <c r="S33" s="194"/>
      <c r="T33" s="205"/>
    </row>
    <row r="34" spans="1:20" ht="15" customHeight="1">
      <c r="A34" s="253"/>
      <c r="B34" s="257"/>
      <c r="C34" s="158">
        <v>22</v>
      </c>
      <c r="D34" s="246" t="s">
        <v>43</v>
      </c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8"/>
      <c r="R34" s="191"/>
      <c r="S34" s="194"/>
      <c r="T34" s="205"/>
    </row>
    <row r="35" spans="1:20" ht="15" customHeight="1">
      <c r="A35" s="253"/>
      <c r="B35" s="257"/>
      <c r="C35" s="158">
        <v>23</v>
      </c>
      <c r="D35" s="246" t="s">
        <v>44</v>
      </c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8"/>
      <c r="R35" s="191"/>
      <c r="S35" s="194"/>
      <c r="T35" s="205"/>
    </row>
    <row r="36" spans="1:20" ht="15" customHeight="1">
      <c r="A36" s="253"/>
      <c r="B36" s="257"/>
      <c r="C36" s="158">
        <v>24</v>
      </c>
      <c r="D36" s="246" t="s">
        <v>45</v>
      </c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8"/>
      <c r="R36" s="191"/>
      <c r="S36" s="194"/>
      <c r="T36" s="205"/>
    </row>
    <row r="37" spans="1:20" ht="15" customHeight="1">
      <c r="A37" s="253"/>
      <c r="B37" s="257"/>
      <c r="C37" s="158">
        <v>25</v>
      </c>
      <c r="D37" s="166" t="s">
        <v>46</v>
      </c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90"/>
      <c r="R37" s="191"/>
      <c r="S37" s="194"/>
      <c r="T37" s="205"/>
    </row>
    <row r="38" spans="1:20" ht="15" customHeight="1">
      <c r="A38" s="253"/>
      <c r="B38" s="257"/>
      <c r="C38" s="158">
        <v>26</v>
      </c>
      <c r="D38" s="166" t="s">
        <v>47</v>
      </c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90"/>
      <c r="R38" s="191"/>
      <c r="S38" s="194"/>
      <c r="T38" s="205"/>
    </row>
    <row r="39" spans="1:20" ht="15" customHeight="1">
      <c r="A39" s="253"/>
      <c r="B39" s="257"/>
      <c r="C39" s="158">
        <v>27</v>
      </c>
      <c r="D39" s="166" t="s">
        <v>48</v>
      </c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90"/>
      <c r="R39" s="191"/>
      <c r="S39" s="194"/>
      <c r="T39" s="205"/>
    </row>
    <row r="40" spans="1:20" ht="15" customHeight="1">
      <c r="A40" s="253"/>
      <c r="B40" s="257"/>
      <c r="C40" s="158">
        <v>28</v>
      </c>
      <c r="D40" s="166" t="s">
        <v>49</v>
      </c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90"/>
      <c r="R40" s="191"/>
      <c r="S40" s="194"/>
      <c r="T40" s="205"/>
    </row>
    <row r="41" spans="1:20" ht="15" customHeight="1">
      <c r="A41" s="253"/>
      <c r="B41" s="257"/>
      <c r="C41" s="158">
        <v>29</v>
      </c>
      <c r="D41" s="161" t="s">
        <v>50</v>
      </c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90"/>
      <c r="R41" s="191"/>
      <c r="S41" s="194"/>
      <c r="T41" s="205"/>
    </row>
    <row r="42" spans="1:20" ht="15" customHeight="1">
      <c r="A42" s="254"/>
      <c r="B42" s="167"/>
      <c r="C42" s="168">
        <v>30</v>
      </c>
      <c r="D42" s="162" t="s">
        <v>51</v>
      </c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99"/>
      <c r="R42" s="200"/>
      <c r="S42" s="197" t="s">
        <v>23</v>
      </c>
      <c r="T42" s="201"/>
    </row>
    <row r="43" spans="1:20" ht="8.25" customHeight="1">
      <c r="A43" s="154"/>
      <c r="B43" s="169"/>
      <c r="C43" s="170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45"/>
      <c r="R43" s="206"/>
      <c r="S43" s="145"/>
      <c r="T43" s="207"/>
    </row>
    <row r="44" spans="1:20" ht="15" customHeight="1">
      <c r="A44" s="255"/>
      <c r="B44" s="259" t="s">
        <v>52</v>
      </c>
      <c r="C44" s="172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202"/>
      <c r="R44" s="187"/>
      <c r="S44" s="203"/>
      <c r="T44" s="189"/>
    </row>
    <row r="45" spans="1:20" ht="15" customHeight="1">
      <c r="A45" s="255"/>
      <c r="B45" s="260"/>
      <c r="C45" s="173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208"/>
      <c r="R45" s="209"/>
      <c r="S45" s="210"/>
      <c r="T45" s="211"/>
    </row>
    <row r="46" spans="1:20" ht="15" customHeight="1">
      <c r="A46" s="255"/>
      <c r="B46" s="261"/>
      <c r="C46" s="175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90"/>
      <c r="R46" s="191"/>
      <c r="S46" s="194"/>
      <c r="T46" s="193"/>
    </row>
    <row r="47" spans="1:20" ht="15" customHeight="1">
      <c r="A47" s="256"/>
      <c r="B47" s="262"/>
      <c r="C47" s="176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99"/>
      <c r="R47" s="200"/>
      <c r="S47" s="212"/>
      <c r="T47" s="201"/>
    </row>
    <row r="48" spans="1:20" ht="14.25">
      <c r="A48" s="249" t="s">
        <v>53</v>
      </c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</row>
    <row r="49" spans="1:20" ht="14.25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</row>
    <row r="50" spans="1:20" ht="14.25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250" t="s">
        <v>54</v>
      </c>
      <c r="Q50" s="251"/>
      <c r="R50" s="251"/>
      <c r="S50" s="251"/>
      <c r="T50" s="251"/>
    </row>
    <row r="51" spans="1:20" ht="14.25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</row>
    <row r="52" spans="1:20" ht="14.25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</row>
    <row r="53" spans="1:20" ht="14.25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</row>
    <row r="54" spans="1:20" ht="14.25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</row>
    <row r="55" spans="1:20" ht="14.25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</row>
    <row r="56" spans="1:20" ht="14.25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</row>
    <row r="57" spans="1:20" ht="14.25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</row>
    <row r="58" spans="1:20" ht="14.25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</row>
    <row r="59" spans="1:20" ht="14.25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</row>
    <row r="60" spans="1:20" ht="14.25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</row>
    <row r="61" spans="1:20" ht="14.25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</row>
    <row r="62" spans="1:20" ht="14.25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</row>
    <row r="63" spans="1:20" ht="14.25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</row>
    <row r="64" spans="1:20" ht="14.25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</row>
    <row r="65" spans="1:20" ht="14.25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</row>
    <row r="66" spans="1:20" ht="14.25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</row>
    <row r="67" spans="1:20" ht="14.25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</row>
    <row r="68" spans="1:20" ht="14.25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</row>
    <row r="69" spans="1:20" ht="14.25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</row>
    <row r="70" spans="1:20" ht="14.25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</row>
    <row r="71" spans="1:20" ht="14.25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</row>
    <row r="72" spans="1:20" ht="14.25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</row>
    <row r="73" spans="1:20" ht="14.25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</row>
    <row r="74" spans="1:20" ht="14.25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</row>
    <row r="75" spans="1:20" ht="14.25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</row>
    <row r="76" spans="1:20" ht="14.25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</row>
    <row r="77" spans="1:20" ht="14.25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</row>
    <row r="78" spans="1:20" ht="14.25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</row>
    <row r="79" spans="1:20" ht="14.25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</row>
    <row r="80" spans="1:20" ht="14.25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</row>
    <row r="81" spans="1:20" ht="14.25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</row>
    <row r="82" spans="1:20" ht="14.25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</row>
    <row r="83" spans="1:20" ht="14.25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</row>
    <row r="84" spans="1:20" ht="14.25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</row>
    <row r="85" spans="1:20" ht="14.25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</row>
    <row r="86" spans="1:20" ht="14.25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</row>
    <row r="87" spans="1:20" ht="14.25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</row>
    <row r="88" spans="1:20" ht="14.25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</row>
    <row r="89" spans="1:20" ht="14.25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</row>
    <row r="90" spans="1:20" ht="14.25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</row>
    <row r="91" spans="1:20" ht="14.25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</row>
    <row r="92" spans="1:20" ht="14.25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</row>
    <row r="93" spans="1:20" ht="14.25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</row>
    <row r="94" spans="1:20" ht="14.25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</row>
    <row r="95" spans="1:20" ht="14.25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</row>
    <row r="96" spans="1:20" ht="14.25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</row>
    <row r="97" spans="1:20" ht="14.25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</row>
    <row r="98" spans="1:20" ht="14.25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</row>
    <row r="99" spans="1:20" ht="14.25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</row>
    <row r="100" spans="1:20" ht="14.25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</row>
    <row r="101" spans="1:20" ht="14.25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</row>
    <row r="102" spans="1:20" ht="14.25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</row>
    <row r="103" spans="1:20" ht="14.25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</row>
    <row r="104" spans="1:20" ht="14.25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</row>
    <row r="105" spans="1:20" ht="14.25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</row>
    <row r="106" spans="1:20" ht="14.25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</row>
    <row r="107" spans="1:20" ht="14.25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</row>
    <row r="108" spans="1:20" ht="14.25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</row>
    <row r="109" spans="1:20" ht="14.25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</row>
    <row r="110" spans="1:20" ht="14.25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</row>
    <row r="111" spans="1:20" ht="14.25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</row>
    <row r="112" spans="1:20" ht="14.25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</row>
    <row r="113" spans="1:20" ht="14.25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</row>
    <row r="114" spans="1:20" ht="14.25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</row>
    <row r="115" spans="1:20" ht="14.25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</row>
    <row r="116" spans="1:20" ht="14.25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</row>
    <row r="117" spans="1:20" ht="14.25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</row>
    <row r="118" spans="1:20" ht="14.25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</row>
    <row r="119" spans="1:20" ht="14.25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</row>
    <row r="120" spans="1:20" ht="14.25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</row>
    <row r="121" spans="1:20" ht="14.25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</row>
    <row r="122" spans="1:20" ht="14.25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</row>
    <row r="123" spans="1:20" ht="14.25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</row>
    <row r="124" spans="1:20" ht="14.25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</row>
    <row r="125" spans="1:20" ht="14.25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</row>
    <row r="126" spans="1:20" ht="14.25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</row>
    <row r="127" spans="1:20" ht="14.25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</row>
    <row r="128" spans="1:20" ht="14.25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</row>
    <row r="129" spans="1:20" ht="14.25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</row>
    <row r="130" spans="1:20" ht="14.25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</row>
    <row r="131" spans="1:20" ht="14.25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</row>
    <row r="132" spans="1:20" ht="14.25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</row>
    <row r="133" spans="1:20" ht="14.25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</row>
    <row r="134" spans="1:20" ht="14.25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</row>
    <row r="135" spans="1:20" ht="14.25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</row>
    <row r="136" spans="1:20" ht="14.25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</row>
    <row r="137" spans="1:20" ht="14.25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</row>
    <row r="138" spans="1:20" ht="14.25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</row>
    <row r="139" spans="1:20" ht="14.25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</row>
    <row r="140" spans="1:20" ht="14.25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</row>
    <row r="141" spans="1:20" ht="14.25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</row>
    <row r="142" spans="1:20" ht="14.25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</row>
    <row r="143" spans="1:20" ht="14.25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</row>
    <row r="144" spans="1:20" ht="14.25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</row>
    <row r="145" spans="1:20" ht="14.25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</row>
    <row r="146" spans="1:20" ht="14.25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</row>
    <row r="147" spans="1:20" ht="14.25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</row>
    <row r="148" spans="1:20" ht="14.25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</row>
    <row r="149" spans="1:20" ht="14.25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</row>
    <row r="150" spans="1:20" ht="14.25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</row>
    <row r="151" spans="1:20" ht="14.25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</row>
    <row r="152" spans="1:20" ht="14.25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</row>
    <row r="153" spans="1:20" ht="14.25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</row>
    <row r="154" spans="1:20" ht="14.25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</row>
    <row r="155" spans="1:20" ht="14.25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</row>
    <row r="156" spans="1:20" ht="14.25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</row>
    <row r="157" spans="1:20" ht="14.25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</row>
    <row r="158" spans="1:20" ht="14.25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</row>
    <row r="159" spans="1:20" ht="14.25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</row>
    <row r="160" spans="1:20" ht="14.25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</row>
    <row r="161" spans="1:20" ht="14.25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</row>
    <row r="162" spans="1:20" ht="14.25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</row>
    <row r="163" spans="1:20" ht="14.25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</row>
    <row r="164" spans="1:20" ht="14.25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</row>
    <row r="165" spans="1:20" ht="14.25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</row>
  </sheetData>
  <mergeCells count="28">
    <mergeCell ref="D34:Q34"/>
    <mergeCell ref="D35:Q35"/>
    <mergeCell ref="D36:Q36"/>
    <mergeCell ref="A48:T48"/>
    <mergeCell ref="P50:T50"/>
    <mergeCell ref="A13:A42"/>
    <mergeCell ref="A44:A47"/>
    <mergeCell ref="B13:B27"/>
    <mergeCell ref="B28:B41"/>
    <mergeCell ref="B44:B47"/>
    <mergeCell ref="D13:Q13"/>
    <mergeCell ref="D22:Q22"/>
    <mergeCell ref="D23:Q23"/>
    <mergeCell ref="D24:P24"/>
    <mergeCell ref="D30:Q30"/>
    <mergeCell ref="A5:B5"/>
    <mergeCell ref="C5:I5"/>
    <mergeCell ref="J5:S5"/>
    <mergeCell ref="A10:S10"/>
    <mergeCell ref="A12:Q12"/>
    <mergeCell ref="A1:T1"/>
    <mergeCell ref="A3:B3"/>
    <mergeCell ref="J3:O3"/>
    <mergeCell ref="A4:B4"/>
    <mergeCell ref="J4:L4"/>
    <mergeCell ref="C3:H4"/>
    <mergeCell ref="P3:Q4"/>
    <mergeCell ref="R3:S4"/>
  </mergeCells>
  <pageMargins left="0.719444444444444" right="0.39305555555555599" top="0.59027777777777801" bottom="0.59027777777777801" header="0.51111111111111096" footer="0.511111111111110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>
      <selection activeCell="A5" sqref="A5:P11"/>
    </sheetView>
  </sheetViews>
  <sheetFormatPr defaultColWidth="9" defaultRowHeight="13.5"/>
  <cols>
    <col min="5" max="5" width="13.75" customWidth="1"/>
  </cols>
  <sheetData>
    <row r="1" spans="1:9" ht="30" customHeight="1">
      <c r="A1" s="271" t="s">
        <v>55</v>
      </c>
      <c r="B1" s="272"/>
      <c r="C1" s="272"/>
      <c r="D1" s="272"/>
      <c r="E1" s="272"/>
      <c r="F1" s="272"/>
      <c r="G1" s="272"/>
      <c r="H1" s="272"/>
      <c r="I1" s="273"/>
    </row>
    <row r="2" spans="1:9" ht="30" customHeight="1">
      <c r="A2" s="274" t="s">
        <v>56</v>
      </c>
      <c r="B2" s="275"/>
      <c r="E2" s="55" t="s">
        <v>57</v>
      </c>
      <c r="F2" s="55"/>
      <c r="G2" s="55"/>
      <c r="H2" s="55"/>
      <c r="I2" s="93"/>
    </row>
    <row r="3" spans="1:9" ht="30" customHeight="1">
      <c r="A3" s="274"/>
      <c r="B3" s="275"/>
      <c r="E3" s="55" t="s">
        <v>6</v>
      </c>
      <c r="F3" s="55"/>
      <c r="G3" s="55"/>
      <c r="H3" s="55"/>
      <c r="I3" s="93"/>
    </row>
    <row r="4" spans="1:9" ht="30" customHeight="1">
      <c r="A4" s="110"/>
      <c r="E4" s="49" t="s">
        <v>58</v>
      </c>
      <c r="F4" s="49"/>
      <c r="G4" s="49"/>
      <c r="H4" s="49"/>
      <c r="I4" s="78"/>
    </row>
    <row r="5" spans="1:9" ht="30" customHeight="1">
      <c r="A5" s="66"/>
      <c r="B5" s="55"/>
      <c r="C5" s="55"/>
      <c r="D5" s="55"/>
      <c r="E5" s="55"/>
      <c r="F5" s="55"/>
      <c r="G5" s="55"/>
      <c r="H5" s="55"/>
      <c r="I5" s="93"/>
    </row>
    <row r="6" spans="1:9" ht="30" customHeight="1">
      <c r="A6" s="153"/>
      <c r="B6" s="49"/>
      <c r="C6" s="49"/>
      <c r="D6" s="49"/>
      <c r="E6" s="49"/>
      <c r="F6" s="49"/>
      <c r="G6" s="49"/>
      <c r="H6" s="49"/>
      <c r="I6" s="78"/>
    </row>
    <row r="7" spans="1:9" ht="30" customHeight="1">
      <c r="A7" s="153"/>
      <c r="B7" s="49"/>
      <c r="C7" s="49"/>
      <c r="D7" s="49"/>
      <c r="E7" s="49"/>
      <c r="F7" s="49"/>
      <c r="G7" s="49"/>
      <c r="H7" s="49"/>
      <c r="I7" s="78"/>
    </row>
    <row r="8" spans="1:9" ht="30" customHeight="1">
      <c r="A8" s="153"/>
      <c r="B8" s="49"/>
      <c r="C8" s="49"/>
      <c r="D8" s="49"/>
      <c r="E8" s="49"/>
      <c r="F8" s="49"/>
      <c r="G8" s="49"/>
      <c r="H8" s="49"/>
      <c r="I8" s="78"/>
    </row>
    <row r="9" spans="1:9" ht="30" customHeight="1">
      <c r="A9" s="153"/>
      <c r="B9" s="49"/>
      <c r="C9" s="49"/>
      <c r="D9" s="49"/>
      <c r="E9" s="49"/>
      <c r="F9" s="49"/>
      <c r="G9" s="49"/>
      <c r="H9" s="49"/>
      <c r="I9" s="78"/>
    </row>
    <row r="10" spans="1:9" ht="30" customHeight="1">
      <c r="A10" s="153"/>
      <c r="B10" s="49"/>
      <c r="C10" s="49"/>
      <c r="D10" s="49"/>
      <c r="E10" s="49"/>
      <c r="F10" s="49"/>
      <c r="G10" s="49"/>
      <c r="H10" s="49"/>
      <c r="I10" s="78"/>
    </row>
    <row r="11" spans="1:9" ht="30" customHeight="1">
      <c r="A11" s="153"/>
      <c r="B11" s="49"/>
      <c r="C11" s="49"/>
      <c r="D11" s="49"/>
      <c r="E11" s="49"/>
      <c r="F11" s="49"/>
      <c r="G11" s="49"/>
      <c r="H11" s="49"/>
      <c r="I11" s="78"/>
    </row>
    <row r="12" spans="1:9" ht="30" customHeight="1">
      <c r="A12" s="153"/>
      <c r="B12" s="49"/>
      <c r="C12" s="49"/>
      <c r="D12" s="49"/>
      <c r="E12" s="49"/>
      <c r="F12" s="49"/>
      <c r="G12" s="49"/>
      <c r="H12" s="49"/>
      <c r="I12" s="78"/>
    </row>
    <row r="13" spans="1:9" ht="30" customHeight="1">
      <c r="A13" s="153"/>
      <c r="B13" s="49"/>
      <c r="C13" s="49"/>
      <c r="D13" s="49"/>
      <c r="E13" s="49"/>
      <c r="F13" s="49"/>
      <c r="G13" s="49"/>
      <c r="H13" s="49"/>
      <c r="I13" s="78"/>
    </row>
    <row r="14" spans="1:9" ht="30" customHeight="1">
      <c r="A14" s="153"/>
      <c r="B14" s="49"/>
      <c r="C14" s="49"/>
      <c r="D14" s="49"/>
      <c r="E14" s="49"/>
      <c r="F14" s="49"/>
      <c r="G14" s="49"/>
      <c r="H14" s="49"/>
      <c r="I14" s="78"/>
    </row>
    <row r="15" spans="1:9" ht="30" customHeight="1">
      <c r="A15" s="153"/>
      <c r="B15" s="49"/>
      <c r="C15" s="49"/>
      <c r="D15" s="49"/>
      <c r="E15" s="49"/>
      <c r="F15" s="49"/>
      <c r="G15" s="49"/>
      <c r="H15" s="49"/>
      <c r="I15" s="78"/>
    </row>
    <row r="16" spans="1:9" ht="30" customHeight="1">
      <c r="A16" s="153"/>
      <c r="B16" s="49"/>
      <c r="C16" s="49"/>
      <c r="D16" s="49"/>
      <c r="E16" s="49"/>
      <c r="F16" s="49"/>
      <c r="G16" s="49"/>
      <c r="H16" s="49"/>
      <c r="I16" s="78"/>
    </row>
    <row r="17" spans="1:9" ht="30" customHeight="1">
      <c r="A17" s="153"/>
      <c r="B17" s="49"/>
      <c r="C17" s="49"/>
      <c r="D17" s="49"/>
      <c r="E17" s="49"/>
      <c r="F17" s="49"/>
      <c r="G17" s="49"/>
      <c r="H17" s="49"/>
      <c r="I17" s="78"/>
    </row>
    <row r="18" spans="1:9" ht="30" customHeight="1">
      <c r="A18" s="153"/>
      <c r="B18" s="49"/>
      <c r="C18" s="49"/>
      <c r="D18" s="49"/>
      <c r="E18" s="49"/>
      <c r="F18" s="49"/>
      <c r="G18" s="49"/>
      <c r="H18" s="49"/>
      <c r="I18" s="78"/>
    </row>
    <row r="19" spans="1:9" ht="30" customHeight="1">
      <c r="A19" s="153"/>
      <c r="B19" s="49"/>
      <c r="C19" s="49"/>
      <c r="D19" s="49"/>
      <c r="E19" s="49"/>
      <c r="F19" s="49"/>
      <c r="G19" s="49"/>
      <c r="H19" s="49"/>
      <c r="I19" s="78"/>
    </row>
    <row r="20" spans="1:9" ht="30" customHeight="1">
      <c r="A20" s="153"/>
      <c r="B20" s="49"/>
      <c r="C20" s="49"/>
      <c r="D20" s="49"/>
      <c r="E20" s="49"/>
      <c r="F20" s="49"/>
      <c r="G20" s="49"/>
      <c r="H20" s="49"/>
      <c r="I20" s="78"/>
    </row>
    <row r="21" spans="1:9" ht="30" customHeight="1">
      <c r="A21" s="153"/>
      <c r="B21" s="49"/>
      <c r="C21" s="49"/>
      <c r="D21" s="49"/>
      <c r="E21" s="49"/>
      <c r="F21" s="49"/>
      <c r="G21" s="49"/>
      <c r="H21" s="49"/>
      <c r="I21" s="78"/>
    </row>
    <row r="22" spans="1:9" ht="30" customHeight="1">
      <c r="A22" s="153"/>
      <c r="B22" s="49"/>
      <c r="C22" s="49"/>
      <c r="D22" s="49"/>
      <c r="E22" s="49"/>
      <c r="F22" s="49"/>
      <c r="G22" s="49"/>
      <c r="H22" s="49"/>
      <c r="I22" s="78"/>
    </row>
    <row r="23" spans="1:9" ht="30" customHeight="1">
      <c r="A23" s="153"/>
      <c r="B23" s="49"/>
      <c r="C23" s="49"/>
      <c r="D23" s="49"/>
      <c r="E23" s="49"/>
      <c r="F23" s="49"/>
      <c r="G23" s="49"/>
      <c r="H23" s="49"/>
      <c r="I23" s="78"/>
    </row>
    <row r="24" spans="1:9" ht="30" customHeight="1">
      <c r="A24" s="153"/>
      <c r="B24" s="49"/>
      <c r="C24" s="49"/>
      <c r="D24" s="49"/>
      <c r="E24" s="49"/>
      <c r="F24" s="49"/>
      <c r="G24" s="49"/>
      <c r="H24" s="49"/>
      <c r="I24" s="78"/>
    </row>
    <row r="25" spans="1:9" ht="30" customHeight="1">
      <c r="A25" s="102"/>
      <c r="B25" s="57"/>
      <c r="C25" s="57"/>
      <c r="D25" s="57"/>
      <c r="E25" s="57"/>
      <c r="F25" s="57"/>
      <c r="G25" s="57"/>
      <c r="H25" s="57"/>
      <c r="I25" s="90"/>
    </row>
    <row r="26" spans="1:9" ht="30" customHeight="1">
      <c r="A26" s="95"/>
      <c r="B26" s="58"/>
      <c r="C26" s="58"/>
      <c r="D26" s="58"/>
      <c r="E26" s="58"/>
      <c r="F26" s="58"/>
      <c r="G26" s="58"/>
      <c r="H26" s="58"/>
      <c r="I26" s="87"/>
    </row>
    <row r="27" spans="1:9" ht="30" customHeight="1">
      <c r="A27" s="66"/>
      <c r="B27" s="55"/>
      <c r="C27" s="55"/>
      <c r="D27" s="55"/>
      <c r="E27" s="55"/>
      <c r="F27" s="55"/>
      <c r="G27" s="55"/>
      <c r="H27" s="55"/>
      <c r="I27" s="93"/>
    </row>
    <row r="28" spans="1:9" ht="30" customHeight="1">
      <c r="A28" s="153"/>
      <c r="B28" s="49"/>
      <c r="C28" s="49"/>
      <c r="D28" s="49"/>
      <c r="E28" s="49"/>
      <c r="F28" s="49"/>
      <c r="G28" s="49"/>
      <c r="H28" s="49"/>
      <c r="I28" s="78"/>
    </row>
    <row r="29" spans="1:9" ht="30" customHeight="1">
      <c r="A29" s="153"/>
      <c r="B29" s="49"/>
      <c r="C29" s="49"/>
      <c r="D29" s="49"/>
      <c r="E29" s="49"/>
      <c r="F29" s="49"/>
      <c r="G29" s="49"/>
      <c r="H29" s="49"/>
      <c r="I29" s="78"/>
    </row>
    <row r="30" spans="1:9" ht="30" customHeight="1">
      <c r="A30" s="153"/>
      <c r="B30" s="49"/>
      <c r="C30" s="49"/>
      <c r="D30" s="49"/>
      <c r="E30" s="49"/>
      <c r="F30" s="49"/>
      <c r="G30" s="49"/>
      <c r="H30" s="49"/>
      <c r="I30" s="78"/>
    </row>
    <row r="31" spans="1:9" ht="30" customHeight="1">
      <c r="A31" s="153"/>
      <c r="B31" s="49"/>
      <c r="C31" s="49"/>
      <c r="D31" s="49"/>
      <c r="E31" s="49"/>
      <c r="F31" s="49"/>
      <c r="G31" s="49"/>
      <c r="H31" s="49"/>
      <c r="I31" s="78"/>
    </row>
    <row r="32" spans="1:9" ht="30" customHeight="1">
      <c r="A32" s="153"/>
      <c r="B32" s="49"/>
      <c r="C32" s="49"/>
      <c r="D32" s="49"/>
      <c r="E32" s="49"/>
      <c r="F32" s="49"/>
      <c r="G32" s="49"/>
      <c r="H32" s="49"/>
      <c r="I32" s="78"/>
    </row>
    <row r="33" spans="1:9" ht="30" customHeight="1">
      <c r="A33" s="153"/>
      <c r="B33" s="49"/>
      <c r="C33" s="49"/>
      <c r="D33" s="49"/>
      <c r="E33" s="49"/>
      <c r="F33" s="49"/>
      <c r="G33" s="49"/>
      <c r="H33" s="49"/>
      <c r="I33" s="78"/>
    </row>
    <row r="34" spans="1:9" ht="30" customHeight="1">
      <c r="A34" s="153"/>
      <c r="B34" s="49"/>
      <c r="C34" s="49"/>
      <c r="D34" s="49"/>
      <c r="E34" s="49"/>
      <c r="F34" s="49"/>
      <c r="G34" s="49"/>
      <c r="H34" s="49"/>
      <c r="I34" s="78"/>
    </row>
    <row r="35" spans="1:9" ht="30" customHeight="1">
      <c r="A35" s="153"/>
      <c r="B35" s="49"/>
      <c r="C35" s="49"/>
      <c r="D35" s="49"/>
      <c r="E35" s="49"/>
      <c r="F35" s="49"/>
      <c r="G35" s="49"/>
      <c r="H35" s="49"/>
      <c r="I35" s="78"/>
    </row>
    <row r="36" spans="1:9" ht="30" customHeight="1">
      <c r="A36" s="153"/>
      <c r="B36" s="49"/>
      <c r="C36" s="49"/>
      <c r="D36" s="49"/>
      <c r="E36" s="49"/>
      <c r="F36" s="49"/>
      <c r="G36" s="49"/>
      <c r="H36" s="49"/>
      <c r="I36" s="78"/>
    </row>
    <row r="37" spans="1:9" ht="30" customHeight="1">
      <c r="A37" s="153"/>
      <c r="B37" s="49"/>
      <c r="C37" s="49"/>
      <c r="D37" s="49"/>
      <c r="E37" s="49"/>
      <c r="F37" s="49"/>
      <c r="G37" s="49"/>
      <c r="H37" s="49"/>
      <c r="I37" s="78"/>
    </row>
    <row r="38" spans="1:9" ht="30" customHeight="1">
      <c r="A38" s="153"/>
      <c r="B38" s="49"/>
      <c r="C38" s="49"/>
      <c r="D38" s="49"/>
      <c r="E38" s="49"/>
      <c r="F38" s="49"/>
      <c r="G38" s="49"/>
      <c r="H38" s="49"/>
      <c r="I38" s="78"/>
    </row>
    <row r="39" spans="1:9" ht="30" customHeight="1">
      <c r="A39" s="153"/>
      <c r="B39" s="49"/>
      <c r="C39" s="49"/>
      <c r="D39" s="49"/>
      <c r="E39" s="49"/>
      <c r="F39" s="49"/>
      <c r="G39" s="49"/>
      <c r="H39" s="49"/>
      <c r="I39" s="78"/>
    </row>
    <row r="40" spans="1:9" ht="30" customHeight="1">
      <c r="A40" s="153"/>
      <c r="B40" s="49"/>
      <c r="C40" s="49"/>
      <c r="D40" s="49"/>
      <c r="E40" s="49"/>
      <c r="F40" s="49"/>
      <c r="G40" s="49"/>
      <c r="H40" s="49"/>
      <c r="I40" s="78"/>
    </row>
    <row r="41" spans="1:9" ht="30" customHeight="1">
      <c r="A41" s="153"/>
      <c r="B41" s="49"/>
      <c r="C41" s="49"/>
      <c r="D41" s="49"/>
      <c r="E41" s="49"/>
      <c r="F41" s="49"/>
      <c r="G41" s="49"/>
      <c r="H41" s="49"/>
      <c r="I41" s="78"/>
    </row>
    <row r="42" spans="1:9" ht="30" customHeight="1">
      <c r="A42" s="153"/>
      <c r="B42" s="49"/>
      <c r="C42" s="49"/>
      <c r="D42" s="49"/>
      <c r="E42" s="49"/>
      <c r="F42" s="49"/>
      <c r="G42" s="49"/>
      <c r="H42" s="49"/>
      <c r="I42" s="78"/>
    </row>
    <row r="43" spans="1:9" ht="30" customHeight="1">
      <c r="A43" s="153"/>
      <c r="B43" s="49"/>
      <c r="C43" s="49"/>
      <c r="D43" s="49"/>
      <c r="E43" s="49"/>
      <c r="F43" s="49"/>
      <c r="G43" s="49"/>
      <c r="H43" s="49"/>
      <c r="I43" s="78"/>
    </row>
    <row r="44" spans="1:9" ht="30" customHeight="1">
      <c r="A44" s="153"/>
      <c r="B44" s="49"/>
      <c r="C44" s="49"/>
      <c r="D44" s="49"/>
      <c r="E44" s="49"/>
      <c r="F44" s="49"/>
      <c r="G44" s="49"/>
      <c r="H44" s="49"/>
      <c r="I44" s="78"/>
    </row>
    <row r="45" spans="1:9" ht="30" customHeight="1">
      <c r="A45" s="153"/>
      <c r="B45" s="49"/>
      <c r="C45" s="49"/>
      <c r="D45" s="49"/>
      <c r="E45" s="49"/>
      <c r="F45" s="49"/>
      <c r="G45" s="49"/>
      <c r="H45" s="49"/>
      <c r="I45" s="78"/>
    </row>
    <row r="46" spans="1:9" ht="30" customHeight="1">
      <c r="A46" s="153"/>
      <c r="B46" s="49"/>
      <c r="C46" s="49"/>
      <c r="D46" s="49"/>
      <c r="E46" s="49"/>
      <c r="F46" s="49"/>
      <c r="G46" s="49"/>
      <c r="H46" s="49"/>
      <c r="I46" s="78"/>
    </row>
    <row r="47" spans="1:9" ht="30" customHeight="1">
      <c r="A47" s="153"/>
      <c r="B47" s="49"/>
      <c r="C47" s="49"/>
      <c r="D47" s="49"/>
      <c r="E47" s="49"/>
      <c r="F47" s="49"/>
      <c r="G47" s="49"/>
      <c r="H47" s="49"/>
      <c r="I47" s="78"/>
    </row>
    <row r="48" spans="1:9" ht="30" customHeight="1">
      <c r="A48" s="153"/>
      <c r="B48" s="49"/>
      <c r="C48" s="49"/>
      <c r="D48" s="49"/>
      <c r="E48" s="49"/>
      <c r="F48" s="49"/>
      <c r="G48" s="49"/>
      <c r="H48" s="49"/>
      <c r="I48" s="78"/>
    </row>
    <row r="49" spans="1:9" ht="30" customHeight="1">
      <c r="A49" s="153"/>
      <c r="B49" s="49"/>
      <c r="C49" s="49"/>
      <c r="D49" s="49"/>
      <c r="E49" s="49"/>
      <c r="F49" s="49"/>
      <c r="G49" s="49"/>
      <c r="H49" s="49"/>
      <c r="I49" s="78"/>
    </row>
    <row r="50" spans="1:9" ht="30" customHeight="1">
      <c r="A50" s="68"/>
      <c r="B50" s="69"/>
      <c r="C50" s="69"/>
      <c r="D50" s="69"/>
      <c r="E50" s="69"/>
      <c r="F50" s="69"/>
      <c r="G50" s="69"/>
      <c r="H50" s="69"/>
      <c r="I50" s="88"/>
    </row>
    <row r="51" spans="1:9" ht="30" customHeight="1"/>
    <row r="52" spans="1:9" ht="30" customHeight="1"/>
    <row r="53" spans="1:9" ht="30" customHeight="1"/>
    <row r="54" spans="1:9" ht="30" customHeight="1"/>
    <row r="55" spans="1:9" ht="30" customHeight="1"/>
    <row r="56" spans="1:9" ht="30" customHeight="1"/>
    <row r="57" spans="1:9" ht="30" customHeight="1"/>
    <row r="58" spans="1:9" ht="30" customHeight="1"/>
  </sheetData>
  <mergeCells count="2">
    <mergeCell ref="A1:I1"/>
    <mergeCell ref="A2:B3"/>
  </mergeCells>
  <pageMargins left="0.78680555555555598" right="0.196527777777778" top="0.98402777777777795" bottom="0.78680555555555598" header="0.51180555555555596" footer="0.511805555555555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6"/>
  <sheetViews>
    <sheetView topLeftCell="A22" workbookViewId="0">
      <selection activeCell="O10" sqref="O10"/>
    </sheetView>
  </sheetViews>
  <sheetFormatPr defaultColWidth="9" defaultRowHeight="13.5"/>
  <cols>
    <col min="1" max="5" width="4.75" customWidth="1"/>
    <col min="6" max="8" width="3.75" customWidth="1"/>
    <col min="9" max="12" width="5.625" customWidth="1"/>
    <col min="13" max="19" width="4.75" customWidth="1"/>
    <col min="20" max="21" width="4.375" customWidth="1"/>
  </cols>
  <sheetData>
    <row r="1" spans="1:19" ht="18.75" customHeight="1">
      <c r="A1" s="276" t="s">
        <v>59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</row>
    <row r="2" spans="1:19" ht="11.25" customHeight="1"/>
    <row r="3" spans="1:19">
      <c r="A3" s="302" t="s">
        <v>6</v>
      </c>
      <c r="B3" s="303"/>
      <c r="C3" s="46" t="s">
        <v>60</v>
      </c>
      <c r="D3" s="47"/>
      <c r="E3" s="47"/>
      <c r="F3" s="47"/>
      <c r="G3" s="47"/>
      <c r="H3" s="47"/>
      <c r="I3" s="58"/>
      <c r="J3" s="47" t="s">
        <v>61</v>
      </c>
      <c r="K3" s="47"/>
      <c r="L3" s="47"/>
      <c r="M3" s="47"/>
      <c r="N3" s="47"/>
      <c r="O3" s="47"/>
      <c r="P3" s="77"/>
      <c r="Q3" s="58"/>
      <c r="R3" s="58"/>
      <c r="S3" s="87"/>
    </row>
    <row r="4" spans="1:19" ht="18.75" customHeight="1">
      <c r="A4" s="346"/>
      <c r="B4" s="338"/>
      <c r="C4" s="48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78"/>
      <c r="Q4" s="277"/>
      <c r="R4" s="277"/>
      <c r="S4" s="278"/>
    </row>
    <row r="5" spans="1:19">
      <c r="A5" s="279" t="s">
        <v>62</v>
      </c>
      <c r="B5" s="280"/>
      <c r="C5" s="280"/>
      <c r="D5" s="280"/>
      <c r="E5" s="281"/>
      <c r="F5" s="282" t="s">
        <v>63</v>
      </c>
      <c r="G5" s="283"/>
      <c r="H5" s="283"/>
      <c r="I5" s="283"/>
      <c r="J5" s="283"/>
      <c r="K5" s="283"/>
      <c r="L5" s="283"/>
      <c r="M5" s="283"/>
      <c r="N5" s="284"/>
      <c r="O5" s="282" t="s">
        <v>64</v>
      </c>
      <c r="P5" s="285"/>
      <c r="Q5" s="277" t="s">
        <v>65</v>
      </c>
      <c r="R5" s="277"/>
      <c r="S5" s="278"/>
    </row>
    <row r="6" spans="1:19" ht="18.75" customHeight="1">
      <c r="A6" s="50"/>
      <c r="B6" s="51"/>
      <c r="C6" s="51"/>
      <c r="D6" s="51"/>
      <c r="E6" s="52"/>
      <c r="F6" s="53" t="s">
        <v>66</v>
      </c>
      <c r="G6" s="51"/>
      <c r="H6" s="49"/>
      <c r="I6" s="49" t="s">
        <v>67</v>
      </c>
      <c r="J6" s="49"/>
      <c r="K6" s="49"/>
      <c r="L6" s="49" t="s">
        <v>68</v>
      </c>
      <c r="M6" s="49"/>
      <c r="N6" s="79"/>
      <c r="O6" s="353" t="s">
        <v>69</v>
      </c>
      <c r="P6" s="354"/>
      <c r="Q6" s="286"/>
      <c r="R6" s="277"/>
      <c r="S6" s="278"/>
    </row>
    <row r="7" spans="1:19" ht="13.5" customHeight="1">
      <c r="A7" s="357" t="s">
        <v>70</v>
      </c>
      <c r="B7" s="358"/>
      <c r="C7" s="287" t="s">
        <v>71</v>
      </c>
      <c r="D7" s="288"/>
      <c r="E7" s="288"/>
      <c r="F7" s="288"/>
      <c r="G7" s="288"/>
      <c r="H7" s="51"/>
      <c r="I7" s="51"/>
      <c r="J7" s="51"/>
      <c r="K7" s="51"/>
      <c r="L7" s="51"/>
      <c r="M7" s="51"/>
      <c r="N7" s="80"/>
      <c r="O7" s="355"/>
      <c r="P7" s="356"/>
      <c r="Q7" s="286" t="s">
        <v>72</v>
      </c>
      <c r="R7" s="277"/>
      <c r="S7" s="278"/>
    </row>
    <row r="8" spans="1:19" ht="18.75" customHeight="1">
      <c r="A8" s="359"/>
      <c r="B8" s="360"/>
      <c r="C8" s="54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49"/>
      <c r="P8" s="49"/>
      <c r="Q8" s="286"/>
      <c r="R8" s="277"/>
      <c r="S8" s="278"/>
    </row>
    <row r="9" spans="1:19" ht="13.5" customHeight="1">
      <c r="A9" s="359"/>
      <c r="B9" s="360"/>
      <c r="C9" s="53" t="s">
        <v>73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68"/>
      <c r="R9" s="69"/>
      <c r="S9" s="88"/>
    </row>
    <row r="10" spans="1:19" ht="18.75" customHeight="1">
      <c r="A10" s="359"/>
      <c r="B10" s="360"/>
      <c r="C10" s="54" t="s">
        <v>74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S10" s="89"/>
    </row>
    <row r="11" spans="1:19" ht="13.5" customHeight="1">
      <c r="A11" s="359"/>
      <c r="B11" s="360"/>
      <c r="C11" s="48" t="s">
        <v>75</v>
      </c>
      <c r="D11" s="49"/>
      <c r="E11" s="49"/>
      <c r="F11" s="49"/>
      <c r="G11" s="49"/>
      <c r="H11" s="49"/>
      <c r="I11" s="49"/>
      <c r="J11" s="81"/>
      <c r="K11" s="48" t="s">
        <v>76</v>
      </c>
      <c r="L11" s="49"/>
      <c r="M11" s="49"/>
      <c r="N11" s="49"/>
      <c r="O11" s="49"/>
      <c r="P11" s="49"/>
      <c r="Q11" s="49"/>
      <c r="R11" s="49"/>
      <c r="S11" s="78"/>
    </row>
    <row r="12" spans="1:19" ht="18.75" customHeight="1">
      <c r="A12" s="361"/>
      <c r="B12" s="362"/>
      <c r="C12" s="56"/>
      <c r="D12" s="57"/>
      <c r="E12" s="57"/>
      <c r="F12" s="57"/>
      <c r="G12" s="57"/>
      <c r="H12" s="57"/>
      <c r="I12" s="57"/>
      <c r="J12" s="57"/>
      <c r="K12" s="56"/>
      <c r="L12" s="57"/>
      <c r="M12" s="57"/>
      <c r="N12" s="57"/>
      <c r="O12" s="57"/>
      <c r="P12" s="57"/>
      <c r="Q12" s="57"/>
      <c r="R12" s="57"/>
      <c r="S12" s="90"/>
    </row>
    <row r="13" spans="1:19" ht="11.25" customHeight="1">
      <c r="A13" s="58"/>
      <c r="Q13" s="58"/>
    </row>
    <row r="14" spans="1:19">
      <c r="A14" s="59" t="s">
        <v>77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77"/>
    </row>
    <row r="15" spans="1:19">
      <c r="A15" s="289" t="s">
        <v>6</v>
      </c>
      <c r="B15" s="290"/>
      <c r="C15" s="290"/>
      <c r="D15" s="291" t="s">
        <v>78</v>
      </c>
      <c r="E15" s="292"/>
      <c r="F15" s="291" t="s">
        <v>63</v>
      </c>
      <c r="G15" s="293"/>
      <c r="H15" s="292"/>
      <c r="I15" s="290" t="s">
        <v>79</v>
      </c>
      <c r="J15" s="290"/>
      <c r="K15" s="290"/>
      <c r="L15" s="290"/>
      <c r="M15" s="290"/>
      <c r="N15" s="290"/>
      <c r="O15" s="290"/>
      <c r="P15" s="290"/>
      <c r="Q15" s="294" t="s">
        <v>80</v>
      </c>
      <c r="R15" s="294"/>
      <c r="S15" s="295"/>
    </row>
    <row r="16" spans="1:19" ht="18.75" customHeight="1">
      <c r="A16" s="60" t="s">
        <v>9</v>
      </c>
      <c r="B16" s="61"/>
      <c r="C16" s="62"/>
      <c r="D16" s="63"/>
      <c r="E16" s="64"/>
      <c r="F16" s="63"/>
      <c r="G16" s="65"/>
      <c r="H16" s="64"/>
      <c r="I16" s="82" t="s">
        <v>71</v>
      </c>
      <c r="J16" s="61"/>
      <c r="K16" s="61"/>
      <c r="L16" s="61"/>
      <c r="M16" s="61"/>
      <c r="N16" s="61"/>
      <c r="O16" s="61"/>
      <c r="P16" s="62"/>
      <c r="Q16" s="63"/>
      <c r="R16" s="65"/>
      <c r="S16" s="91"/>
    </row>
    <row r="17" spans="1:19" ht="18.75" customHeight="1">
      <c r="A17" s="66"/>
      <c r="B17" s="55"/>
      <c r="C17" s="67"/>
      <c r="D17" s="54"/>
      <c r="E17" s="67"/>
      <c r="F17" s="54"/>
      <c r="G17" s="55"/>
      <c r="H17" s="67"/>
      <c r="I17" s="83" t="s">
        <v>81</v>
      </c>
      <c r="J17" s="49"/>
      <c r="K17" s="49"/>
      <c r="L17" s="49"/>
      <c r="M17" s="49"/>
      <c r="N17" s="49"/>
      <c r="O17" s="49"/>
      <c r="P17" s="81"/>
      <c r="Q17" s="48"/>
      <c r="R17" s="49"/>
      <c r="S17" s="78"/>
    </row>
    <row r="18" spans="1:19" ht="18.75" customHeight="1">
      <c r="A18" s="50"/>
      <c r="B18" s="51"/>
      <c r="C18" s="52"/>
      <c r="D18" s="53"/>
      <c r="E18" s="52"/>
      <c r="F18" s="53"/>
      <c r="G18" s="51"/>
      <c r="H18" s="52"/>
      <c r="I18" s="82" t="s">
        <v>71</v>
      </c>
      <c r="J18" s="49"/>
      <c r="K18" s="49"/>
      <c r="L18" s="49"/>
      <c r="M18" s="49"/>
      <c r="N18" s="49"/>
      <c r="O18" s="49"/>
      <c r="P18" s="81"/>
      <c r="Q18" s="48"/>
      <c r="R18" s="49"/>
      <c r="S18" s="78"/>
    </row>
    <row r="19" spans="1:19" ht="18.75" customHeight="1">
      <c r="A19" s="66"/>
      <c r="B19" s="55"/>
      <c r="C19" s="67"/>
      <c r="D19" s="54"/>
      <c r="E19" s="67"/>
      <c r="F19" s="54"/>
      <c r="G19" s="55"/>
      <c r="H19" s="67"/>
      <c r="I19" s="83" t="s">
        <v>81</v>
      </c>
      <c r="J19" s="49"/>
      <c r="K19" s="49"/>
      <c r="L19" s="49"/>
      <c r="M19" s="49"/>
      <c r="N19" s="49"/>
      <c r="O19" s="49"/>
      <c r="P19" s="81"/>
      <c r="Q19" s="48"/>
      <c r="R19" s="49"/>
      <c r="S19" s="78"/>
    </row>
    <row r="20" spans="1:19" ht="18.75" customHeight="1">
      <c r="A20" s="50"/>
      <c r="B20" s="51"/>
      <c r="C20" s="52"/>
      <c r="D20" s="53"/>
      <c r="E20" s="52"/>
      <c r="F20" s="53"/>
      <c r="G20" s="51"/>
      <c r="H20" s="52"/>
      <c r="I20" s="82" t="s">
        <v>71</v>
      </c>
      <c r="J20" s="49"/>
      <c r="K20" s="49"/>
      <c r="L20" s="49"/>
      <c r="M20" s="49"/>
      <c r="N20" s="49"/>
      <c r="O20" s="49"/>
      <c r="P20" s="81"/>
      <c r="Q20" s="48"/>
      <c r="R20" s="49"/>
      <c r="S20" s="78"/>
    </row>
    <row r="21" spans="1:19" ht="18.75" customHeight="1">
      <c r="A21" s="66"/>
      <c r="B21" s="55"/>
      <c r="C21" s="67"/>
      <c r="D21" s="54"/>
      <c r="E21" s="67"/>
      <c r="F21" s="54"/>
      <c r="G21" s="55"/>
      <c r="H21" s="67"/>
      <c r="I21" s="83" t="s">
        <v>81</v>
      </c>
      <c r="J21" s="49"/>
      <c r="K21" s="49"/>
      <c r="L21" s="49"/>
      <c r="M21" s="49"/>
      <c r="N21" s="49"/>
      <c r="O21" s="49"/>
      <c r="P21" s="81"/>
      <c r="Q21" s="48"/>
      <c r="R21" s="49"/>
      <c r="S21" s="78"/>
    </row>
    <row r="22" spans="1:19" ht="18.75" customHeight="1">
      <c r="A22" s="50"/>
      <c r="B22" s="51"/>
      <c r="C22" s="52"/>
      <c r="D22" s="53"/>
      <c r="E22" s="52"/>
      <c r="F22" s="53"/>
      <c r="G22" s="51"/>
      <c r="H22" s="52"/>
      <c r="I22" s="82" t="s">
        <v>71</v>
      </c>
      <c r="J22" s="51"/>
      <c r="K22" s="51"/>
      <c r="L22" s="51"/>
      <c r="M22" s="51"/>
      <c r="N22" s="51"/>
      <c r="O22" s="51"/>
      <c r="P22" s="52"/>
      <c r="Q22" s="53"/>
      <c r="R22" s="51"/>
      <c r="S22" s="92"/>
    </row>
    <row r="23" spans="1:19" ht="18.75" customHeight="1">
      <c r="A23" s="66"/>
      <c r="B23" s="55"/>
      <c r="C23" s="67"/>
      <c r="D23" s="54"/>
      <c r="E23" s="67"/>
      <c r="F23" s="54"/>
      <c r="G23" s="55"/>
      <c r="H23" s="67"/>
      <c r="I23" s="83" t="s">
        <v>81</v>
      </c>
      <c r="J23" s="51"/>
      <c r="K23" s="51"/>
      <c r="L23" s="51"/>
      <c r="M23" s="51"/>
      <c r="N23" s="51"/>
      <c r="O23" s="51"/>
      <c r="P23" s="52"/>
      <c r="Q23" s="53"/>
      <c r="R23" s="51"/>
      <c r="S23" s="92"/>
    </row>
    <row r="24" spans="1:19" ht="18.75" customHeight="1">
      <c r="A24" s="50"/>
      <c r="B24" s="51"/>
      <c r="C24" s="52"/>
      <c r="D24" s="53"/>
      <c r="E24" s="52"/>
      <c r="F24" s="53"/>
      <c r="G24" s="51"/>
      <c r="H24" s="52"/>
      <c r="I24" s="82" t="s">
        <v>71</v>
      </c>
      <c r="J24" s="51"/>
      <c r="K24" s="51"/>
      <c r="L24" s="51"/>
      <c r="M24" s="51"/>
      <c r="N24" s="51"/>
      <c r="O24" s="51"/>
      <c r="P24" s="52"/>
      <c r="Q24" s="53"/>
      <c r="R24" s="51"/>
      <c r="S24" s="92"/>
    </row>
    <row r="25" spans="1:19" ht="18.75" customHeight="1">
      <c r="A25" s="68"/>
      <c r="B25" s="69"/>
      <c r="C25" s="70"/>
      <c r="D25" s="71"/>
      <c r="E25" s="70"/>
      <c r="F25" s="71"/>
      <c r="G25" s="69"/>
      <c r="H25" s="70"/>
      <c r="I25" s="84" t="s">
        <v>81</v>
      </c>
      <c r="J25" s="57"/>
      <c r="K25" s="57"/>
      <c r="L25" s="57"/>
      <c r="M25" s="57"/>
      <c r="N25" s="57"/>
      <c r="O25" s="57"/>
      <c r="P25" s="85"/>
      <c r="Q25" s="56"/>
      <c r="R25" s="57"/>
      <c r="S25" s="90"/>
    </row>
    <row r="26" spans="1:19" ht="11.25" customHeight="1"/>
    <row r="27" spans="1:19">
      <c r="A27" s="72" t="s">
        <v>82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46"/>
      <c r="N27" s="47"/>
      <c r="O27" s="47"/>
      <c r="P27" s="47"/>
      <c r="Q27" s="47"/>
      <c r="R27" s="47"/>
      <c r="S27" s="77"/>
    </row>
    <row r="28" spans="1:19" ht="18.75" customHeight="1">
      <c r="A28" s="296"/>
      <c r="B28" s="297"/>
      <c r="C28" s="298" t="s">
        <v>83</v>
      </c>
      <c r="D28" s="298"/>
      <c r="E28" s="298"/>
      <c r="F28" s="298"/>
      <c r="G28" s="298"/>
      <c r="H28" s="298"/>
      <c r="I28" s="298"/>
      <c r="J28" s="298"/>
      <c r="K28" s="298"/>
      <c r="L28" s="299" t="s">
        <v>84</v>
      </c>
      <c r="M28" s="300"/>
      <c r="N28" s="300"/>
      <c r="O28" s="300" t="s">
        <v>85</v>
      </c>
      <c r="P28" s="300"/>
      <c r="Q28" s="300"/>
      <c r="R28" s="299" t="s">
        <v>86</v>
      </c>
      <c r="S28" s="301"/>
    </row>
    <row r="29" spans="1:19" ht="18.75" customHeight="1">
      <c r="A29" s="302" t="s">
        <v>6</v>
      </c>
      <c r="B29" s="303"/>
      <c r="C29" s="304"/>
      <c r="D29" s="304"/>
      <c r="E29" s="304"/>
      <c r="F29" s="304"/>
      <c r="G29" s="304"/>
      <c r="H29" s="304"/>
      <c r="I29" s="304"/>
      <c r="J29" s="304"/>
      <c r="K29" s="304"/>
      <c r="L29" s="313" t="s">
        <v>87</v>
      </c>
      <c r="M29" s="313"/>
      <c r="N29" s="313"/>
      <c r="O29" s="313" t="s">
        <v>87</v>
      </c>
      <c r="P29" s="313"/>
      <c r="Q29" s="313"/>
      <c r="R29" s="315" t="s">
        <v>88</v>
      </c>
      <c r="S29" s="316"/>
    </row>
    <row r="30" spans="1:19" ht="18.75" customHeight="1">
      <c r="A30" s="305" t="s">
        <v>79</v>
      </c>
      <c r="B30" s="306"/>
      <c r="C30" s="307"/>
      <c r="D30" s="307"/>
      <c r="E30" s="307"/>
      <c r="F30" s="307"/>
      <c r="G30" s="307"/>
      <c r="H30" s="307"/>
      <c r="I30" s="307"/>
      <c r="J30" s="307"/>
      <c r="K30" s="307"/>
      <c r="L30" s="314"/>
      <c r="M30" s="314"/>
      <c r="N30" s="314"/>
      <c r="O30" s="314"/>
      <c r="P30" s="314"/>
      <c r="Q30" s="314"/>
      <c r="R30" s="317"/>
      <c r="S30" s="318"/>
    </row>
    <row r="31" spans="1:19" ht="18.75" customHeight="1">
      <c r="A31" s="289" t="s">
        <v>6</v>
      </c>
      <c r="B31" s="290"/>
      <c r="C31" s="308"/>
      <c r="D31" s="308"/>
      <c r="E31" s="308"/>
      <c r="F31" s="308"/>
      <c r="G31" s="308"/>
      <c r="H31" s="308"/>
      <c r="I31" s="308"/>
      <c r="J31" s="308"/>
      <c r="K31" s="308"/>
      <c r="L31" s="363" t="s">
        <v>87</v>
      </c>
      <c r="M31" s="363"/>
      <c r="N31" s="363"/>
      <c r="O31" s="363" t="s">
        <v>87</v>
      </c>
      <c r="P31" s="363"/>
      <c r="Q31" s="363"/>
      <c r="R31" s="379" t="s">
        <v>88</v>
      </c>
      <c r="S31" s="380"/>
    </row>
    <row r="32" spans="1:19" ht="18.75" customHeight="1">
      <c r="A32" s="309" t="s">
        <v>79</v>
      </c>
      <c r="B32" s="298"/>
      <c r="C32" s="310"/>
      <c r="D32" s="310"/>
      <c r="E32" s="310"/>
      <c r="F32" s="310"/>
      <c r="G32" s="310"/>
      <c r="H32" s="310"/>
      <c r="I32" s="310"/>
      <c r="J32" s="310"/>
      <c r="K32" s="310"/>
      <c r="L32" s="378"/>
      <c r="M32" s="378"/>
      <c r="N32" s="378"/>
      <c r="O32" s="378"/>
      <c r="P32" s="378"/>
      <c r="Q32" s="378"/>
      <c r="R32" s="381"/>
      <c r="S32" s="382"/>
    </row>
    <row r="33" spans="1:19" ht="18.75" customHeight="1">
      <c r="A33" s="302" t="s">
        <v>6</v>
      </c>
      <c r="B33" s="303"/>
      <c r="C33" s="304"/>
      <c r="D33" s="304"/>
      <c r="E33" s="304"/>
      <c r="F33" s="304"/>
      <c r="G33" s="304"/>
      <c r="H33" s="304"/>
      <c r="I33" s="304"/>
      <c r="J33" s="304"/>
      <c r="K33" s="304"/>
      <c r="L33" s="313" t="s">
        <v>87</v>
      </c>
      <c r="M33" s="313"/>
      <c r="N33" s="313"/>
      <c r="O33" s="313" t="s">
        <v>87</v>
      </c>
      <c r="P33" s="313"/>
      <c r="Q33" s="313"/>
      <c r="R33" s="315" t="s">
        <v>88</v>
      </c>
      <c r="S33" s="316"/>
    </row>
    <row r="34" spans="1:19" ht="18.75" customHeight="1">
      <c r="A34" s="305" t="s">
        <v>79</v>
      </c>
      <c r="B34" s="306"/>
      <c r="C34" s="307"/>
      <c r="D34" s="307"/>
      <c r="E34" s="307"/>
      <c r="F34" s="307"/>
      <c r="G34" s="307"/>
      <c r="H34" s="307"/>
      <c r="I34" s="307"/>
      <c r="J34" s="307"/>
      <c r="K34" s="307"/>
      <c r="L34" s="314"/>
      <c r="M34" s="314"/>
      <c r="N34" s="314"/>
      <c r="O34" s="314"/>
      <c r="P34" s="314"/>
      <c r="Q34" s="314"/>
      <c r="R34" s="317"/>
      <c r="S34" s="318"/>
    </row>
    <row r="35" spans="1:19" ht="18.75" customHeight="1">
      <c r="A35" s="289" t="s">
        <v>6</v>
      </c>
      <c r="B35" s="290"/>
      <c r="C35" s="308"/>
      <c r="D35" s="308"/>
      <c r="E35" s="308"/>
      <c r="F35" s="308"/>
      <c r="G35" s="308"/>
      <c r="H35" s="308"/>
      <c r="I35" s="308"/>
      <c r="J35" s="308"/>
      <c r="K35" s="308"/>
      <c r="L35" s="363" t="s">
        <v>87</v>
      </c>
      <c r="M35" s="363"/>
      <c r="N35" s="363"/>
      <c r="O35" s="363" t="s">
        <v>87</v>
      </c>
      <c r="P35" s="363"/>
      <c r="Q35" s="363"/>
      <c r="R35" s="379" t="s">
        <v>88</v>
      </c>
      <c r="S35" s="380"/>
    </row>
    <row r="36" spans="1:19" ht="18.75" customHeight="1">
      <c r="A36" s="305" t="s">
        <v>79</v>
      </c>
      <c r="B36" s="306"/>
      <c r="C36" s="307"/>
      <c r="D36" s="307"/>
      <c r="E36" s="307"/>
      <c r="F36" s="307"/>
      <c r="G36" s="307"/>
      <c r="H36" s="307"/>
      <c r="I36" s="307"/>
      <c r="J36" s="307"/>
      <c r="K36" s="307"/>
      <c r="L36" s="314"/>
      <c r="M36" s="314"/>
      <c r="N36" s="314"/>
      <c r="O36" s="314"/>
      <c r="P36" s="314"/>
      <c r="Q36" s="314"/>
      <c r="R36" s="317"/>
      <c r="S36" s="318"/>
    </row>
    <row r="37" spans="1:19" ht="11.25" customHeight="1"/>
    <row r="38" spans="1:19">
      <c r="A38" s="59" t="s">
        <v>89</v>
      </c>
      <c r="B38" s="47"/>
      <c r="C38" s="47"/>
      <c r="D38" s="47"/>
      <c r="E38" s="47" t="s">
        <v>90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77"/>
    </row>
    <row r="39" spans="1:19" ht="11.25" customHeight="1">
      <c r="A39" s="346" t="s">
        <v>6</v>
      </c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298"/>
      <c r="M39" s="298"/>
      <c r="N39" s="298"/>
      <c r="O39" s="298"/>
      <c r="P39" s="311" t="s">
        <v>91</v>
      </c>
      <c r="Q39" s="311"/>
      <c r="R39" s="311" t="s">
        <v>86</v>
      </c>
      <c r="S39" s="312"/>
    </row>
    <row r="40" spans="1:19" ht="11.25" customHeight="1">
      <c r="A40" s="346"/>
      <c r="B40" s="338"/>
      <c r="C40" s="342"/>
      <c r="D40" s="342"/>
      <c r="E40" s="342"/>
      <c r="F40" s="342"/>
      <c r="G40" s="342"/>
      <c r="H40" s="342"/>
      <c r="I40" s="342"/>
      <c r="J40" s="342"/>
      <c r="K40" s="342"/>
      <c r="L40" s="363" t="s">
        <v>92</v>
      </c>
      <c r="M40" s="363"/>
      <c r="N40" s="363"/>
      <c r="O40" s="363"/>
      <c r="P40" s="383"/>
      <c r="Q40" s="383"/>
      <c r="R40" s="386" t="s">
        <v>88</v>
      </c>
      <c r="S40" s="387"/>
    </row>
    <row r="41" spans="1:19" ht="11.25" customHeight="1">
      <c r="A41" s="346" t="s">
        <v>79</v>
      </c>
      <c r="B41" s="338"/>
      <c r="C41" s="342"/>
      <c r="D41" s="342"/>
      <c r="E41" s="342"/>
      <c r="F41" s="342"/>
      <c r="G41" s="342"/>
      <c r="H41" s="342"/>
      <c r="I41" s="342"/>
      <c r="J41" s="342"/>
      <c r="K41" s="342"/>
      <c r="L41" s="298"/>
      <c r="M41" s="298"/>
      <c r="N41" s="298"/>
      <c r="O41" s="298"/>
      <c r="P41" s="384"/>
      <c r="Q41" s="384"/>
      <c r="R41" s="386"/>
      <c r="S41" s="387"/>
    </row>
    <row r="42" spans="1:19" ht="11.25" customHeight="1">
      <c r="A42" s="305"/>
      <c r="B42" s="306"/>
      <c r="C42" s="307"/>
      <c r="D42" s="307"/>
      <c r="E42" s="307"/>
      <c r="F42" s="307"/>
      <c r="G42" s="307"/>
      <c r="H42" s="307"/>
      <c r="I42" s="307"/>
      <c r="J42" s="307"/>
      <c r="K42" s="307"/>
      <c r="L42" s="390" t="s">
        <v>93</v>
      </c>
      <c r="M42" s="390"/>
      <c r="N42" s="390"/>
      <c r="O42" s="390"/>
      <c r="P42" s="385"/>
      <c r="Q42" s="385"/>
      <c r="R42" s="388"/>
      <c r="S42" s="389"/>
    </row>
    <row r="43" spans="1:19" ht="11.25" customHeight="1"/>
    <row r="44" spans="1:19">
      <c r="A44" s="72" t="s">
        <v>94</v>
      </c>
      <c r="B44" s="73"/>
      <c r="C44" s="73"/>
      <c r="D44" s="73"/>
      <c r="E44" s="73"/>
      <c r="F44" s="73"/>
      <c r="G44" s="73"/>
      <c r="H44" s="73"/>
      <c r="I44" s="46"/>
      <c r="J44" s="47"/>
      <c r="K44" s="47"/>
      <c r="L44" s="47"/>
      <c r="M44" s="47"/>
      <c r="N44" s="47"/>
      <c r="O44" s="47"/>
      <c r="P44" s="47"/>
      <c r="Q44" s="47"/>
      <c r="R44" s="47"/>
      <c r="S44" s="77"/>
    </row>
    <row r="45" spans="1:19" ht="11.25" customHeight="1">
      <c r="A45" s="346" t="s">
        <v>6</v>
      </c>
      <c r="B45" s="338"/>
      <c r="C45" s="338"/>
      <c r="D45" s="338"/>
      <c r="E45" s="338"/>
      <c r="F45" s="338"/>
      <c r="G45" s="338"/>
      <c r="H45" s="338"/>
      <c r="I45" s="338"/>
      <c r="J45" s="338"/>
      <c r="K45" s="338"/>
      <c r="L45" s="298"/>
      <c r="M45" s="298"/>
      <c r="N45" s="298"/>
      <c r="O45" s="298"/>
      <c r="P45" s="311" t="s">
        <v>86</v>
      </c>
      <c r="Q45" s="311"/>
      <c r="R45" s="311" t="s">
        <v>95</v>
      </c>
      <c r="S45" s="312"/>
    </row>
    <row r="46" spans="1:19" ht="11.25" customHeight="1">
      <c r="A46" s="346"/>
      <c r="B46" s="338"/>
      <c r="C46" s="342"/>
      <c r="D46" s="342"/>
      <c r="E46" s="342"/>
      <c r="F46" s="342"/>
      <c r="G46" s="342"/>
      <c r="H46" s="342"/>
      <c r="I46" s="342"/>
      <c r="J46" s="342"/>
      <c r="K46" s="342"/>
      <c r="L46" s="363" t="s">
        <v>92</v>
      </c>
      <c r="M46" s="363"/>
      <c r="N46" s="363"/>
      <c r="O46" s="363"/>
      <c r="P46" s="383" t="s">
        <v>96</v>
      </c>
      <c r="Q46" s="383"/>
      <c r="R46" s="386" t="s">
        <v>97</v>
      </c>
      <c r="S46" s="387"/>
    </row>
    <row r="47" spans="1:19" ht="11.25" customHeight="1">
      <c r="A47" s="346" t="s">
        <v>79</v>
      </c>
      <c r="B47" s="338"/>
      <c r="C47" s="342"/>
      <c r="D47" s="342"/>
      <c r="E47" s="342"/>
      <c r="F47" s="342"/>
      <c r="G47" s="342"/>
      <c r="H47" s="342"/>
      <c r="I47" s="342"/>
      <c r="J47" s="342"/>
      <c r="K47" s="342"/>
      <c r="L47" s="298"/>
      <c r="M47" s="298"/>
      <c r="N47" s="298"/>
      <c r="O47" s="298"/>
      <c r="P47" s="384"/>
      <c r="Q47" s="384"/>
      <c r="R47" s="386"/>
      <c r="S47" s="387"/>
    </row>
    <row r="48" spans="1:19" ht="11.25" customHeight="1">
      <c r="A48" s="305"/>
      <c r="B48" s="306"/>
      <c r="C48" s="307"/>
      <c r="D48" s="307"/>
      <c r="E48" s="307"/>
      <c r="F48" s="307"/>
      <c r="G48" s="307"/>
      <c r="H48" s="307"/>
      <c r="I48" s="307"/>
      <c r="J48" s="307"/>
      <c r="K48" s="307"/>
      <c r="L48" s="390" t="s">
        <v>93</v>
      </c>
      <c r="M48" s="390"/>
      <c r="N48" s="390"/>
      <c r="O48" s="390"/>
      <c r="P48" s="385"/>
      <c r="Q48" s="385"/>
      <c r="R48" s="388"/>
      <c r="S48" s="389"/>
    </row>
    <row r="49" spans="1:19" ht="11.25" customHeight="1"/>
    <row r="50" spans="1:19">
      <c r="A50" s="364" t="s">
        <v>98</v>
      </c>
      <c r="B50" s="365"/>
      <c r="C50" s="365"/>
      <c r="D50" s="365"/>
      <c r="E50" s="366"/>
      <c r="F50" s="75" t="s">
        <v>99</v>
      </c>
      <c r="G50" s="58"/>
      <c r="H50" s="58"/>
      <c r="I50" s="58"/>
      <c r="J50" s="58"/>
      <c r="K50" s="58" t="s">
        <v>100</v>
      </c>
      <c r="L50" s="58"/>
      <c r="M50" s="58"/>
      <c r="N50" s="58" t="s">
        <v>101</v>
      </c>
      <c r="O50" s="58"/>
      <c r="P50" s="58"/>
      <c r="Q50" s="58"/>
      <c r="R50" s="58"/>
      <c r="S50" s="87"/>
    </row>
    <row r="51" spans="1:19">
      <c r="A51" s="367"/>
      <c r="B51" s="293"/>
      <c r="C51" s="293"/>
      <c r="D51" s="293"/>
      <c r="E51" s="292"/>
      <c r="F51" s="54" t="s">
        <v>102</v>
      </c>
      <c r="G51" s="55"/>
      <c r="H51" s="55"/>
      <c r="I51" s="55" t="s">
        <v>103</v>
      </c>
      <c r="J51" s="55"/>
      <c r="K51" s="55"/>
      <c r="L51" s="55"/>
      <c r="M51" s="55" t="s">
        <v>104</v>
      </c>
      <c r="N51" s="55"/>
      <c r="O51" s="55"/>
      <c r="P51" s="55"/>
      <c r="Q51" s="55"/>
      <c r="R51" s="55"/>
      <c r="S51" s="93"/>
    </row>
    <row r="52" spans="1:19">
      <c r="A52" s="368" t="s">
        <v>105</v>
      </c>
      <c r="B52" s="369"/>
      <c r="C52" s="369"/>
      <c r="D52" s="53"/>
      <c r="E52" s="51"/>
      <c r="F52" s="51"/>
      <c r="G52" s="51"/>
      <c r="H52" s="51"/>
      <c r="I52" s="51"/>
      <c r="J52" s="51"/>
      <c r="K52" s="52"/>
      <c r="L52" s="369" t="s">
        <v>106</v>
      </c>
      <c r="M52" s="369"/>
      <c r="N52" s="369"/>
      <c r="O52" s="369"/>
      <c r="P52" s="53"/>
      <c r="Q52" s="51"/>
      <c r="R52" s="51"/>
      <c r="S52" s="92"/>
    </row>
    <row r="53" spans="1:19" ht="18.75" customHeight="1">
      <c r="A53" s="370"/>
      <c r="B53" s="371"/>
      <c r="C53" s="371"/>
      <c r="D53" s="71"/>
      <c r="E53" s="69"/>
      <c r="F53" s="69"/>
      <c r="G53" s="69"/>
      <c r="H53" s="69"/>
      <c r="I53" s="69"/>
      <c r="J53" s="69"/>
      <c r="K53" s="70"/>
      <c r="L53" s="371"/>
      <c r="M53" s="371"/>
      <c r="N53" s="371"/>
      <c r="O53" s="371"/>
      <c r="P53" s="71"/>
      <c r="Q53" s="69"/>
      <c r="R53" s="69"/>
      <c r="S53" s="88"/>
    </row>
    <row r="54" spans="1:19" ht="8.25" customHeight="1">
      <c r="A54" s="76"/>
      <c r="B54" s="76"/>
      <c r="C54" s="76"/>
      <c r="L54" s="76"/>
      <c r="M54" s="76"/>
      <c r="N54" s="76"/>
      <c r="O54" s="76"/>
    </row>
    <row r="55" spans="1:19" ht="13.5" customHeight="1">
      <c r="A55" t="s">
        <v>107</v>
      </c>
    </row>
    <row r="56" spans="1:19" ht="27.75" customHeight="1"/>
    <row r="57" spans="1:19" ht="23.25" customHeight="1">
      <c r="A57" s="69" t="s">
        <v>57</v>
      </c>
      <c r="B57" s="69"/>
      <c r="C57" s="69"/>
      <c r="D57" s="69"/>
      <c r="E57" s="69"/>
      <c r="F57" s="69"/>
      <c r="G57" s="69"/>
      <c r="J57" s="69" t="s">
        <v>58</v>
      </c>
      <c r="K57" s="69"/>
      <c r="L57" s="69"/>
      <c r="M57" s="69"/>
      <c r="N57" s="69"/>
      <c r="O57" s="69"/>
      <c r="P57" s="69"/>
      <c r="Q57" s="69"/>
      <c r="R57" s="69"/>
      <c r="S57" s="69"/>
    </row>
    <row r="58" spans="1:19" ht="12" customHeight="1"/>
    <row r="59" spans="1:19" ht="25.5">
      <c r="A59" s="276" t="s">
        <v>108</v>
      </c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</row>
    <row r="60" spans="1:19">
      <c r="R60" s="244" t="s">
        <v>109</v>
      </c>
      <c r="S60" s="244"/>
    </row>
    <row r="62" spans="1:19">
      <c r="A62" s="69" t="s">
        <v>6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</row>
    <row r="64" spans="1:19">
      <c r="A64" s="69" t="s">
        <v>110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</row>
    <row r="67" spans="1:19">
      <c r="A67" s="372" t="s">
        <v>111</v>
      </c>
      <c r="B67" s="373"/>
      <c r="C67" s="373"/>
      <c r="D67" s="376" t="s">
        <v>90</v>
      </c>
      <c r="E67" s="376"/>
      <c r="F67" s="303" t="s">
        <v>112</v>
      </c>
      <c r="G67" s="303"/>
      <c r="H67" s="303"/>
      <c r="I67" s="303"/>
      <c r="J67" s="303"/>
      <c r="K67" s="303"/>
      <c r="L67" s="303"/>
      <c r="M67" s="303"/>
      <c r="N67" s="303" t="s">
        <v>113</v>
      </c>
      <c r="O67" s="303"/>
      <c r="P67" s="303"/>
      <c r="Q67" s="303"/>
      <c r="R67" s="303"/>
      <c r="S67" s="319"/>
    </row>
    <row r="68" spans="1:19" ht="22.5" customHeight="1">
      <c r="A68" s="374"/>
      <c r="B68" s="375"/>
      <c r="C68" s="375"/>
      <c r="D68" s="377"/>
      <c r="E68" s="377"/>
      <c r="F68" s="320"/>
      <c r="G68" s="321"/>
      <c r="H68" s="321"/>
      <c r="I68" s="321"/>
      <c r="J68" s="321"/>
      <c r="K68" s="321"/>
      <c r="L68" s="321"/>
      <c r="M68" s="322"/>
      <c r="N68" s="323" t="s">
        <v>114</v>
      </c>
      <c r="O68" s="324"/>
      <c r="P68" s="324"/>
      <c r="Q68" s="324"/>
      <c r="R68" s="324"/>
      <c r="S68" s="325"/>
    </row>
    <row r="69" spans="1:19">
      <c r="A69" s="326" t="s">
        <v>115</v>
      </c>
      <c r="B69" s="327"/>
      <c r="C69" s="327"/>
      <c r="D69" s="327"/>
      <c r="E69" s="327"/>
      <c r="F69" s="327"/>
      <c r="G69" s="327"/>
      <c r="H69" s="327"/>
      <c r="I69" s="327"/>
      <c r="J69" s="328"/>
      <c r="K69" s="329" t="s">
        <v>116</v>
      </c>
      <c r="L69" s="327"/>
      <c r="M69" s="327"/>
      <c r="N69" s="327"/>
      <c r="O69" s="327"/>
      <c r="P69" s="327"/>
      <c r="Q69" s="327"/>
      <c r="R69" s="327"/>
      <c r="S69" s="330"/>
    </row>
    <row r="70" spans="1:19" ht="22.5" customHeight="1">
      <c r="A70" s="331"/>
      <c r="B70" s="332"/>
      <c r="C70" s="332"/>
      <c r="D70" s="332"/>
      <c r="E70" s="332"/>
      <c r="F70" s="332"/>
      <c r="G70" s="332"/>
      <c r="H70" s="332"/>
      <c r="I70" s="333"/>
      <c r="J70" s="334"/>
      <c r="K70" s="102" t="s">
        <v>117</v>
      </c>
      <c r="L70" s="57"/>
      <c r="M70" s="101"/>
      <c r="N70" s="101"/>
      <c r="O70" s="101"/>
      <c r="P70" s="101"/>
      <c r="Q70" s="101"/>
      <c r="R70" s="101"/>
      <c r="S70" s="122"/>
    </row>
    <row r="71" spans="1:19">
      <c r="I71" s="58"/>
      <c r="J71" s="58"/>
      <c r="K71" s="58"/>
      <c r="L71" s="58"/>
    </row>
    <row r="72" spans="1:19">
      <c r="A72" t="s">
        <v>118</v>
      </c>
    </row>
    <row r="73" spans="1:19" ht="15" customHeight="1">
      <c r="A73" s="351" t="s">
        <v>119</v>
      </c>
      <c r="B73" s="303" t="s">
        <v>120</v>
      </c>
      <c r="C73" s="303"/>
      <c r="D73" s="303"/>
      <c r="E73" s="303"/>
      <c r="F73" s="303"/>
      <c r="G73" s="303"/>
      <c r="H73" s="303" t="s">
        <v>121</v>
      </c>
      <c r="I73" s="303"/>
      <c r="J73" s="303" t="s">
        <v>122</v>
      </c>
      <c r="K73" s="303"/>
      <c r="L73" s="303" t="s">
        <v>123</v>
      </c>
      <c r="M73" s="303"/>
      <c r="N73" s="303"/>
      <c r="O73" s="303"/>
      <c r="P73" s="303"/>
      <c r="Q73" s="303"/>
      <c r="R73" s="303"/>
      <c r="S73" s="319"/>
    </row>
    <row r="74" spans="1:19" ht="30" customHeight="1">
      <c r="A74" s="352"/>
      <c r="B74" s="56"/>
      <c r="C74" s="57"/>
      <c r="D74" s="57"/>
      <c r="E74" s="57"/>
      <c r="F74" s="57"/>
      <c r="G74" s="85"/>
      <c r="H74" s="56"/>
      <c r="I74" s="85"/>
      <c r="J74" s="56"/>
      <c r="K74" s="85"/>
      <c r="L74" s="306" t="s">
        <v>124</v>
      </c>
      <c r="M74" s="306"/>
      <c r="N74" s="306"/>
      <c r="O74" s="306"/>
      <c r="P74" s="306"/>
      <c r="Q74" s="306"/>
      <c r="R74" s="306"/>
      <c r="S74" s="335"/>
    </row>
    <row r="75" spans="1:19" ht="15" customHeight="1">
      <c r="A75" s="351" t="s">
        <v>125</v>
      </c>
      <c r="B75" s="303" t="s">
        <v>120</v>
      </c>
      <c r="C75" s="303"/>
      <c r="D75" s="303"/>
      <c r="E75" s="303"/>
      <c r="F75" s="303"/>
      <c r="G75" s="303"/>
      <c r="H75" s="303" t="s">
        <v>121</v>
      </c>
      <c r="I75" s="303"/>
      <c r="J75" s="303" t="s">
        <v>122</v>
      </c>
      <c r="K75" s="303"/>
      <c r="L75" s="303" t="s">
        <v>123</v>
      </c>
      <c r="M75" s="303"/>
      <c r="N75" s="303"/>
      <c r="O75" s="303"/>
      <c r="P75" s="303"/>
      <c r="Q75" s="303"/>
      <c r="R75" s="303"/>
      <c r="S75" s="319"/>
    </row>
    <row r="76" spans="1:19" ht="30" customHeight="1">
      <c r="A76" s="352"/>
      <c r="B76" s="56"/>
      <c r="C76" s="57"/>
      <c r="D76" s="57"/>
      <c r="E76" s="57"/>
      <c r="F76" s="57"/>
      <c r="G76" s="85"/>
      <c r="H76" s="94" t="s">
        <v>126</v>
      </c>
      <c r="I76" s="85"/>
      <c r="J76" s="56"/>
      <c r="K76" s="85"/>
      <c r="L76" s="306" t="s">
        <v>124</v>
      </c>
      <c r="M76" s="306"/>
      <c r="N76" s="306"/>
      <c r="O76" s="306"/>
      <c r="P76" s="306"/>
      <c r="Q76" s="306"/>
      <c r="R76" s="306"/>
      <c r="S76" s="335"/>
    </row>
    <row r="77" spans="1:19" ht="15" customHeight="1">
      <c r="A77" s="95" t="s">
        <v>127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87"/>
    </row>
    <row r="78" spans="1:19" ht="30" customHeight="1">
      <c r="A78" s="68"/>
      <c r="B78" s="69" t="s">
        <v>128</v>
      </c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88"/>
    </row>
    <row r="79" spans="1:19" ht="13.5" customHeight="1">
      <c r="B79" s="96"/>
      <c r="C79" s="96"/>
    </row>
    <row r="80" spans="1:19">
      <c r="A80" s="336" t="s">
        <v>129</v>
      </c>
      <c r="B80" s="336"/>
      <c r="C80" s="336"/>
      <c r="D80" s="336"/>
      <c r="E80" s="336"/>
      <c r="F80" s="336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</row>
    <row r="81" spans="1:19">
      <c r="A81" s="95" t="s">
        <v>6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103"/>
      <c r="M81" s="75" t="s">
        <v>130</v>
      </c>
      <c r="N81" s="58"/>
      <c r="O81" s="58"/>
      <c r="P81" s="58"/>
      <c r="Q81" s="58"/>
      <c r="R81" s="58"/>
      <c r="S81" s="87"/>
    </row>
    <row r="82" spans="1:19" ht="26.25" customHeight="1">
      <c r="A82" s="6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67"/>
      <c r="M82" s="54"/>
      <c r="N82" s="55"/>
      <c r="O82" s="55"/>
      <c r="P82" s="55"/>
      <c r="Q82" s="55"/>
      <c r="R82" s="55"/>
      <c r="S82" s="93"/>
    </row>
    <row r="83" spans="1:19">
      <c r="A83" s="50" t="s">
        <v>71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2"/>
      <c r="M83" s="53" t="s">
        <v>131</v>
      </c>
      <c r="N83" s="51"/>
      <c r="O83" s="51"/>
      <c r="P83" s="51"/>
      <c r="Q83" s="51"/>
      <c r="R83" s="51"/>
      <c r="S83" s="92"/>
    </row>
    <row r="84" spans="1:19" ht="26.25" customHeight="1">
      <c r="A84" s="6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67"/>
      <c r="M84" s="104" t="s">
        <v>132</v>
      </c>
      <c r="N84" s="55"/>
      <c r="O84" s="55"/>
      <c r="P84" s="55"/>
      <c r="Q84" s="55"/>
      <c r="R84" s="55"/>
      <c r="S84" s="93"/>
    </row>
    <row r="85" spans="1:19">
      <c r="A85" s="50" t="s">
        <v>73</v>
      </c>
      <c r="B85" s="51"/>
      <c r="C85" s="51"/>
      <c r="D85" s="51"/>
      <c r="E85" s="51"/>
      <c r="F85" s="51"/>
      <c r="G85" s="51"/>
      <c r="H85" s="51"/>
      <c r="I85" s="105"/>
      <c r="J85" s="105"/>
      <c r="K85" s="105"/>
      <c r="L85" s="74"/>
      <c r="M85" s="53" t="s">
        <v>133</v>
      </c>
      <c r="N85" s="51"/>
      <c r="O85" s="51"/>
      <c r="P85" s="51"/>
      <c r="Q85" s="51"/>
      <c r="R85" s="51"/>
      <c r="S85" s="92"/>
    </row>
    <row r="86" spans="1:19" ht="26.25" customHeight="1">
      <c r="A86" s="66" t="s">
        <v>134</v>
      </c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67"/>
      <c r="M86" s="54"/>
      <c r="N86" s="55"/>
      <c r="O86" s="55"/>
      <c r="P86" s="55"/>
      <c r="Q86" s="55"/>
      <c r="R86" s="55"/>
      <c r="S86" s="93"/>
    </row>
    <row r="87" spans="1:19">
      <c r="A87" s="50" t="s">
        <v>135</v>
      </c>
      <c r="B87" s="51"/>
      <c r="C87" s="51"/>
      <c r="D87" s="51"/>
      <c r="E87" s="51"/>
      <c r="F87" s="51"/>
      <c r="G87" s="51"/>
      <c r="H87" s="51"/>
      <c r="I87" s="105"/>
      <c r="J87" s="105"/>
      <c r="K87" s="105"/>
      <c r="L87" s="74"/>
      <c r="M87" s="53" t="s">
        <v>136</v>
      </c>
      <c r="N87" s="51"/>
      <c r="O87" s="51"/>
      <c r="P87" s="51"/>
      <c r="Q87" s="51"/>
      <c r="R87" s="51"/>
      <c r="S87" s="92"/>
    </row>
    <row r="88" spans="1:19" ht="26.25" customHeight="1">
      <c r="A88" s="66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67"/>
      <c r="M88" s="54"/>
      <c r="N88" s="55"/>
      <c r="O88" s="55"/>
      <c r="P88" s="55"/>
      <c r="Q88" s="55"/>
      <c r="R88" s="55"/>
      <c r="S88" s="93"/>
    </row>
    <row r="89" spans="1:19">
      <c r="A89" s="50" t="s">
        <v>137</v>
      </c>
      <c r="B89" s="51"/>
      <c r="C89" s="51"/>
      <c r="D89" s="51"/>
      <c r="E89" s="51"/>
      <c r="F89" s="51"/>
      <c r="G89" s="51"/>
      <c r="H89" s="51"/>
      <c r="I89" s="105"/>
      <c r="J89" s="105"/>
      <c r="K89" s="105"/>
      <c r="L89" s="74"/>
      <c r="M89" s="53" t="s">
        <v>138</v>
      </c>
      <c r="N89" s="51"/>
      <c r="O89" s="51"/>
      <c r="P89" s="51"/>
      <c r="Q89" s="51"/>
      <c r="R89" s="51"/>
      <c r="S89" s="92"/>
    </row>
    <row r="90" spans="1:19" ht="26.25" customHeight="1">
      <c r="A90" s="66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67"/>
      <c r="M90" s="54"/>
      <c r="N90" s="55"/>
      <c r="O90" s="55"/>
      <c r="P90" s="55"/>
      <c r="Q90" s="55"/>
      <c r="R90" s="55"/>
      <c r="S90" s="93"/>
    </row>
    <row r="91" spans="1:19">
      <c r="A91" s="50" t="s">
        <v>139</v>
      </c>
      <c r="B91" s="51"/>
      <c r="C91" s="51"/>
      <c r="D91" s="51"/>
      <c r="E91" s="51"/>
      <c r="F91" s="51"/>
      <c r="G91" s="51"/>
      <c r="H91" s="51"/>
      <c r="I91" s="105"/>
      <c r="J91" s="74"/>
      <c r="K91" s="106" t="s">
        <v>140</v>
      </c>
      <c r="L91" s="105"/>
      <c r="M91" s="51"/>
      <c r="N91" s="51"/>
      <c r="O91" s="51"/>
      <c r="P91" s="51"/>
      <c r="Q91" s="51"/>
      <c r="R91" s="51"/>
      <c r="S91" s="92"/>
    </row>
    <row r="92" spans="1:19" ht="26.25" customHeight="1">
      <c r="A92" s="66" t="s">
        <v>141</v>
      </c>
      <c r="B92" s="55"/>
      <c r="C92" s="55"/>
      <c r="D92" s="55"/>
      <c r="E92" s="55"/>
      <c r="F92" s="55"/>
      <c r="G92" s="55"/>
      <c r="H92" s="55"/>
      <c r="I92" s="55"/>
      <c r="J92" s="67"/>
      <c r="K92" s="107" t="s">
        <v>141</v>
      </c>
      <c r="S92" s="89"/>
    </row>
    <row r="93" spans="1:19">
      <c r="A93" s="50" t="s">
        <v>142</v>
      </c>
      <c r="B93" s="51"/>
      <c r="C93" s="51"/>
      <c r="D93" s="51"/>
      <c r="E93" s="51"/>
      <c r="F93" s="51"/>
      <c r="G93" s="51"/>
      <c r="H93" s="51"/>
      <c r="I93" s="105"/>
      <c r="J93" s="105"/>
      <c r="K93" s="108"/>
      <c r="L93" s="109"/>
      <c r="M93" s="58"/>
      <c r="N93" s="58"/>
      <c r="O93" s="58"/>
      <c r="P93" s="58"/>
      <c r="Q93" s="58"/>
      <c r="R93" s="58"/>
      <c r="S93" s="58"/>
    </row>
    <row r="94" spans="1:19" ht="26.25" customHeight="1">
      <c r="A94" s="68" t="s">
        <v>141</v>
      </c>
      <c r="B94" s="69"/>
      <c r="C94" s="69"/>
      <c r="D94" s="69"/>
      <c r="E94" s="69"/>
      <c r="F94" s="69"/>
      <c r="G94" s="69"/>
      <c r="H94" s="69"/>
      <c r="I94" s="69"/>
      <c r="J94" s="69"/>
      <c r="K94" s="110"/>
    </row>
    <row r="95" spans="1:19">
      <c r="I95" s="61"/>
      <c r="J95" s="61"/>
      <c r="K95" s="61"/>
      <c r="L95" s="61"/>
    </row>
    <row r="96" spans="1:19">
      <c r="A96" t="s">
        <v>143</v>
      </c>
      <c r="I96" s="61"/>
      <c r="J96" s="61"/>
      <c r="K96" s="61"/>
      <c r="L96" s="61"/>
    </row>
    <row r="97" spans="1:19">
      <c r="A97" s="72" t="s">
        <v>144</v>
      </c>
      <c r="B97" s="73"/>
      <c r="C97" s="73"/>
      <c r="D97" s="46"/>
      <c r="E97" s="97"/>
      <c r="F97" s="46" t="s">
        <v>90</v>
      </c>
      <c r="G97" s="58"/>
      <c r="H97" s="58"/>
      <c r="I97" s="111"/>
      <c r="J97" s="111"/>
      <c r="K97" s="112"/>
      <c r="L97" s="112"/>
      <c r="M97" s="58"/>
      <c r="N97" s="58"/>
      <c r="O97" s="58"/>
      <c r="P97" s="58"/>
      <c r="Q97" s="58"/>
      <c r="R97" s="47"/>
      <c r="S97" s="77"/>
    </row>
    <row r="98" spans="1:19" ht="22.5" customHeight="1">
      <c r="A98" s="337" t="s">
        <v>78</v>
      </c>
      <c r="B98" s="311"/>
      <c r="C98" s="338" t="s">
        <v>6</v>
      </c>
      <c r="D98" s="338"/>
      <c r="E98" s="338"/>
      <c r="F98" s="338"/>
      <c r="G98" s="282" t="s">
        <v>63</v>
      </c>
      <c r="H98" s="283"/>
      <c r="I98" s="283"/>
      <c r="J98" s="284"/>
      <c r="K98" s="339" t="s">
        <v>62</v>
      </c>
      <c r="L98" s="281"/>
      <c r="M98" s="339" t="s">
        <v>145</v>
      </c>
      <c r="N98" s="281"/>
      <c r="O98" s="339" t="s">
        <v>146</v>
      </c>
      <c r="P98" s="280"/>
      <c r="Q98" s="281"/>
      <c r="R98" s="339" t="s">
        <v>147</v>
      </c>
      <c r="S98" s="340"/>
    </row>
    <row r="99" spans="1:19" ht="30" customHeight="1">
      <c r="A99" s="341"/>
      <c r="B99" s="342"/>
      <c r="C99" s="342"/>
      <c r="D99" s="342"/>
      <c r="E99" s="342"/>
      <c r="F99" s="342"/>
      <c r="G99" s="98" t="s">
        <v>148</v>
      </c>
      <c r="H99" s="98"/>
      <c r="I99" s="49"/>
      <c r="J99" s="49"/>
      <c r="K99" s="113"/>
      <c r="L99" s="114"/>
      <c r="M99" s="339" t="s">
        <v>149</v>
      </c>
      <c r="N99" s="280"/>
      <c r="O99" s="115"/>
      <c r="P99" s="49"/>
      <c r="Q99" s="81"/>
      <c r="R99" s="48"/>
      <c r="S99" s="78"/>
    </row>
    <row r="100" spans="1:19" ht="30" customHeight="1">
      <c r="A100" s="341"/>
      <c r="B100" s="342"/>
      <c r="C100" s="342"/>
      <c r="D100" s="342"/>
      <c r="E100" s="342"/>
      <c r="F100" s="342"/>
      <c r="G100" s="98" t="s">
        <v>148</v>
      </c>
      <c r="H100" s="98"/>
      <c r="I100" s="49"/>
      <c r="J100" s="49"/>
      <c r="K100" s="113"/>
      <c r="L100" s="114"/>
      <c r="M100" s="339" t="s">
        <v>149</v>
      </c>
      <c r="N100" s="280"/>
      <c r="O100" s="115"/>
      <c r="P100" s="49"/>
      <c r="Q100" s="81"/>
      <c r="R100" s="48"/>
      <c r="S100" s="78"/>
    </row>
    <row r="101" spans="1:19" ht="30" customHeight="1">
      <c r="A101" s="343"/>
      <c r="B101" s="307"/>
      <c r="C101" s="307"/>
      <c r="D101" s="307"/>
      <c r="E101" s="307"/>
      <c r="F101" s="307"/>
      <c r="G101" s="86" t="s">
        <v>148</v>
      </c>
      <c r="H101" s="86"/>
      <c r="I101" s="57"/>
      <c r="J101" s="57"/>
      <c r="K101" s="116"/>
      <c r="L101" s="117"/>
      <c r="M101" s="344" t="s">
        <v>149</v>
      </c>
      <c r="N101" s="345"/>
      <c r="O101" s="118"/>
      <c r="P101" s="57"/>
      <c r="Q101" s="85"/>
      <c r="R101" s="56"/>
      <c r="S101" s="90"/>
    </row>
    <row r="102" spans="1:19">
      <c r="I102" s="61"/>
      <c r="J102" s="61"/>
      <c r="K102" s="61"/>
      <c r="L102" s="61"/>
    </row>
    <row r="103" spans="1:19">
      <c r="A103" s="59" t="s">
        <v>150</v>
      </c>
      <c r="B103" s="47"/>
      <c r="C103" s="47"/>
      <c r="D103" s="47"/>
      <c r="E103" s="47"/>
      <c r="F103" s="47"/>
      <c r="G103" s="47"/>
      <c r="H103" s="47"/>
      <c r="I103" s="119"/>
      <c r="J103" s="119"/>
      <c r="K103" s="120"/>
      <c r="L103" s="121"/>
      <c r="M103" s="58"/>
      <c r="N103" s="58"/>
      <c r="O103" s="47"/>
      <c r="P103" s="47"/>
      <c r="Q103" s="47"/>
      <c r="R103" s="47"/>
      <c r="S103" s="77"/>
    </row>
    <row r="104" spans="1:19">
      <c r="A104" s="346" t="s">
        <v>151</v>
      </c>
      <c r="B104" s="338"/>
      <c r="C104" s="338"/>
      <c r="D104" s="338"/>
      <c r="E104" s="338"/>
      <c r="F104" s="282" t="s">
        <v>152</v>
      </c>
      <c r="G104" s="283"/>
      <c r="H104" s="283"/>
      <c r="I104" s="283"/>
      <c r="J104" s="283"/>
      <c r="K104" s="282" t="s">
        <v>153</v>
      </c>
      <c r="L104" s="283"/>
      <c r="M104" s="283"/>
      <c r="N104" s="284"/>
      <c r="O104" s="280" t="s">
        <v>154</v>
      </c>
      <c r="P104" s="280"/>
      <c r="Q104" s="280"/>
      <c r="R104" s="280"/>
      <c r="S104" s="340"/>
    </row>
    <row r="105" spans="1:19" ht="26.25" customHeight="1">
      <c r="A105" s="347" t="s">
        <v>155</v>
      </c>
      <c r="B105" s="348"/>
      <c r="C105" s="348"/>
      <c r="D105" s="348"/>
      <c r="E105" s="348"/>
      <c r="F105" s="99" t="s">
        <v>155</v>
      </c>
      <c r="G105" s="100"/>
      <c r="H105" s="69"/>
      <c r="I105" s="69"/>
      <c r="J105" s="69"/>
      <c r="K105" s="71"/>
      <c r="L105" s="69"/>
      <c r="M105" s="69"/>
      <c r="N105" s="70"/>
      <c r="O105" s="349"/>
      <c r="P105" s="349"/>
      <c r="Q105" s="349"/>
      <c r="R105" s="349"/>
      <c r="S105" s="350"/>
    </row>
    <row r="106" spans="1:19">
      <c r="I106" s="61"/>
      <c r="J106" s="61"/>
      <c r="K106" s="65"/>
      <c r="L106" s="65"/>
    </row>
  </sheetData>
  <mergeCells count="124">
    <mergeCell ref="L31:N32"/>
    <mergeCell ref="O31:Q32"/>
    <mergeCell ref="R31:S32"/>
    <mergeCell ref="C41:K42"/>
    <mergeCell ref="A45:B46"/>
    <mergeCell ref="R35:S36"/>
    <mergeCell ref="A47:B48"/>
    <mergeCell ref="C47:K48"/>
    <mergeCell ref="C45:K46"/>
    <mergeCell ref="P40:Q42"/>
    <mergeCell ref="R40:S42"/>
    <mergeCell ref="A41:B42"/>
    <mergeCell ref="L40:O40"/>
    <mergeCell ref="L41:O41"/>
    <mergeCell ref="L42:O42"/>
    <mergeCell ref="L45:O45"/>
    <mergeCell ref="P45:Q45"/>
    <mergeCell ref="R45:S45"/>
    <mergeCell ref="L46:O46"/>
    <mergeCell ref="L47:O47"/>
    <mergeCell ref="L48:O48"/>
    <mergeCell ref="P46:Q48"/>
    <mergeCell ref="R46:S48"/>
    <mergeCell ref="A34:B34"/>
    <mergeCell ref="A104:E104"/>
    <mergeCell ref="F104:J104"/>
    <mergeCell ref="K104:N104"/>
    <mergeCell ref="O104:S104"/>
    <mergeCell ref="A105:E105"/>
    <mergeCell ref="O105:S105"/>
    <mergeCell ref="A73:A74"/>
    <mergeCell ref="A75:A76"/>
    <mergeCell ref="A3:B4"/>
    <mergeCell ref="O6:P7"/>
    <mergeCell ref="A7:B12"/>
    <mergeCell ref="R29:S30"/>
    <mergeCell ref="A39:B40"/>
    <mergeCell ref="C39:K40"/>
    <mergeCell ref="L35:N36"/>
    <mergeCell ref="O35:Q36"/>
    <mergeCell ref="A50:E51"/>
    <mergeCell ref="A52:C53"/>
    <mergeCell ref="L52:O53"/>
    <mergeCell ref="A67:C68"/>
    <mergeCell ref="D67:E68"/>
    <mergeCell ref="L29:N30"/>
    <mergeCell ref="O29:Q30"/>
    <mergeCell ref="L33:N34"/>
    <mergeCell ref="A99:B99"/>
    <mergeCell ref="C99:F99"/>
    <mergeCell ref="M99:N99"/>
    <mergeCell ref="A100:B100"/>
    <mergeCell ref="C100:F100"/>
    <mergeCell ref="M100:N100"/>
    <mergeCell ref="A101:B101"/>
    <mergeCell ref="C101:F101"/>
    <mergeCell ref="M101:N101"/>
    <mergeCell ref="L76:S76"/>
    <mergeCell ref="A80:S80"/>
    <mergeCell ref="A98:B98"/>
    <mergeCell ref="C98:F98"/>
    <mergeCell ref="G98:J98"/>
    <mergeCell ref="K98:L98"/>
    <mergeCell ref="M98:N98"/>
    <mergeCell ref="O98:Q98"/>
    <mergeCell ref="R98:S98"/>
    <mergeCell ref="B73:G73"/>
    <mergeCell ref="H73:I73"/>
    <mergeCell ref="J73:K73"/>
    <mergeCell ref="L73:S73"/>
    <mergeCell ref="L74:S74"/>
    <mergeCell ref="B75:G75"/>
    <mergeCell ref="H75:I75"/>
    <mergeCell ref="J75:K75"/>
    <mergeCell ref="L75:S75"/>
    <mergeCell ref="A59:S59"/>
    <mergeCell ref="R60:S60"/>
    <mergeCell ref="F67:M67"/>
    <mergeCell ref="N67:S67"/>
    <mergeCell ref="F68:M68"/>
    <mergeCell ref="N68:S68"/>
    <mergeCell ref="A69:J69"/>
    <mergeCell ref="K69:S69"/>
    <mergeCell ref="A70:J70"/>
    <mergeCell ref="C34:K34"/>
    <mergeCell ref="A35:B35"/>
    <mergeCell ref="C35:K35"/>
    <mergeCell ref="A36:B36"/>
    <mergeCell ref="C36:K36"/>
    <mergeCell ref="L39:O39"/>
    <mergeCell ref="P39:Q39"/>
    <mergeCell ref="R39:S39"/>
    <mergeCell ref="O33:Q34"/>
    <mergeCell ref="R33:S34"/>
    <mergeCell ref="A29:B29"/>
    <mergeCell ref="C29:K29"/>
    <mergeCell ref="A30:B30"/>
    <mergeCell ref="C30:K30"/>
    <mergeCell ref="A31:B31"/>
    <mergeCell ref="C31:K31"/>
    <mergeCell ref="A32:B32"/>
    <mergeCell ref="C32:K32"/>
    <mergeCell ref="A33:B33"/>
    <mergeCell ref="C33:K33"/>
    <mergeCell ref="Q8:S8"/>
    <mergeCell ref="A15:C15"/>
    <mergeCell ref="D15:E15"/>
    <mergeCell ref="F15:H15"/>
    <mergeCell ref="I15:P15"/>
    <mergeCell ref="Q15:S15"/>
    <mergeCell ref="A28:B28"/>
    <mergeCell ref="C28:K28"/>
    <mergeCell ref="L28:N28"/>
    <mergeCell ref="O28:Q28"/>
    <mergeCell ref="R28:S28"/>
    <mergeCell ref="A1:S1"/>
    <mergeCell ref="Q4:S4"/>
    <mergeCell ref="A5:E5"/>
    <mergeCell ref="F5:N5"/>
    <mergeCell ref="O5:P5"/>
    <mergeCell ref="Q5:S5"/>
    <mergeCell ref="Q6:S6"/>
    <mergeCell ref="C7:G7"/>
    <mergeCell ref="Q7:S7"/>
  </mergeCells>
  <pageMargins left="0.59027777777777801" right="0.59027777777777801" top="0" bottom="0" header="0.51111111111111096" footer="0.51111111111111096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opLeftCell="A13" workbookViewId="0">
      <selection activeCell="L25" sqref="L25:L31"/>
    </sheetView>
  </sheetViews>
  <sheetFormatPr defaultColWidth="9" defaultRowHeight="14.25"/>
  <cols>
    <col min="1" max="1" width="3.625" style="124" customWidth="1"/>
    <col min="2" max="3" width="10" style="124" customWidth="1"/>
    <col min="4" max="4" width="3.125" style="124" customWidth="1"/>
    <col min="5" max="7" width="5.75" style="124" customWidth="1"/>
    <col min="8" max="8" width="3.125" style="124" customWidth="1"/>
    <col min="9" max="11" width="7" style="124" customWidth="1"/>
    <col min="12" max="12" width="3.125" style="124" customWidth="1"/>
    <col min="13" max="15" width="4.75" style="124" customWidth="1"/>
    <col min="16" max="16" width="3.625" style="124" customWidth="1"/>
    <col min="17" max="16384" width="9" style="124"/>
  </cols>
  <sheetData>
    <row r="1" spans="1:16" ht="20.25" customHeight="1">
      <c r="A1" s="396" t="s">
        <v>156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</row>
    <row r="2" spans="1:16" ht="1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1:16" ht="20.25" customHeight="1">
      <c r="A3" s="126" t="s">
        <v>157</v>
      </c>
      <c r="N3" s="250" t="s">
        <v>158</v>
      </c>
      <c r="O3" s="250"/>
      <c r="P3" s="250"/>
    </row>
    <row r="4" spans="1:16" ht="28.5" customHeight="1">
      <c r="B4" s="397" t="s">
        <v>159</v>
      </c>
      <c r="C4" s="398"/>
      <c r="D4" s="399" t="s">
        <v>160</v>
      </c>
      <c r="E4" s="400"/>
      <c r="F4" s="400"/>
      <c r="G4" s="401"/>
      <c r="H4" s="402" t="s">
        <v>161</v>
      </c>
      <c r="I4" s="403"/>
      <c r="J4" s="403"/>
      <c r="K4" s="404"/>
      <c r="L4" s="405" t="s">
        <v>162</v>
      </c>
      <c r="M4" s="406"/>
      <c r="N4" s="406"/>
      <c r="O4" s="407"/>
    </row>
    <row r="5" spans="1:16" ht="20.25" customHeight="1">
      <c r="B5" s="408" t="s">
        <v>163</v>
      </c>
      <c r="C5" s="409"/>
      <c r="D5" s="127" t="s">
        <v>164</v>
      </c>
      <c r="E5" s="410">
        <v>50000</v>
      </c>
      <c r="F5" s="411"/>
      <c r="G5" s="412"/>
      <c r="H5" s="127" t="s">
        <v>164</v>
      </c>
      <c r="I5" s="410">
        <v>0</v>
      </c>
      <c r="J5" s="411"/>
      <c r="K5" s="413"/>
      <c r="L5" s="422" t="s">
        <v>164</v>
      </c>
      <c r="M5" s="423">
        <f>SUM(E10,I10)</f>
        <v>1672000</v>
      </c>
      <c r="N5" s="423"/>
      <c r="O5" s="424"/>
    </row>
    <row r="6" spans="1:16" ht="20.25" customHeight="1">
      <c r="B6" s="408" t="s">
        <v>165</v>
      </c>
      <c r="C6" s="409"/>
      <c r="D6" s="127" t="s">
        <v>164</v>
      </c>
      <c r="E6" s="410">
        <v>30000</v>
      </c>
      <c r="F6" s="411"/>
      <c r="G6" s="412"/>
      <c r="H6" s="127"/>
      <c r="I6" s="440">
        <v>0</v>
      </c>
      <c r="J6" s="441"/>
      <c r="K6" s="442"/>
      <c r="L6" s="420"/>
      <c r="M6" s="425"/>
      <c r="N6" s="425"/>
      <c r="O6" s="426"/>
    </row>
    <row r="7" spans="1:16" ht="20.25" customHeight="1">
      <c r="B7" s="408" t="s">
        <v>166</v>
      </c>
      <c r="C7" s="409"/>
      <c r="D7" s="127" t="s">
        <v>164</v>
      </c>
      <c r="E7" s="410">
        <f>'regular plan'!E7:G7</f>
        <v>660000</v>
      </c>
      <c r="F7" s="411"/>
      <c r="G7" s="412"/>
      <c r="H7" s="127" t="s">
        <v>164</v>
      </c>
      <c r="I7" s="410">
        <f>E7</f>
        <v>660000</v>
      </c>
      <c r="J7" s="411"/>
      <c r="K7" s="412"/>
      <c r="L7" s="420"/>
      <c r="M7" s="427"/>
      <c r="N7" s="427"/>
      <c r="O7" s="428"/>
    </row>
    <row r="8" spans="1:16" ht="20.25" customHeight="1">
      <c r="B8" s="391" t="s">
        <v>167</v>
      </c>
      <c r="C8" s="392"/>
      <c r="D8" s="128" t="s">
        <v>164</v>
      </c>
      <c r="E8" s="393">
        <f>'regular plan'!E8:G8</f>
        <v>60000</v>
      </c>
      <c r="F8" s="394"/>
      <c r="G8" s="395"/>
      <c r="H8" s="128" t="s">
        <v>164</v>
      </c>
      <c r="I8" s="393">
        <f>E8</f>
        <v>60000</v>
      </c>
      <c r="J8" s="394"/>
      <c r="K8" s="395"/>
      <c r="L8" s="420"/>
      <c r="M8" s="427"/>
      <c r="N8" s="427"/>
      <c r="O8" s="428"/>
    </row>
    <row r="9" spans="1:16" ht="20.25" customHeight="1">
      <c r="B9" s="415" t="s">
        <v>168</v>
      </c>
      <c r="C9" s="416"/>
      <c r="D9" s="129" t="s">
        <v>164</v>
      </c>
      <c r="E9" s="417">
        <f>(E5+E6+E7+E8)*0.1</f>
        <v>80000</v>
      </c>
      <c r="F9" s="418"/>
      <c r="G9" s="419"/>
      <c r="H9" s="129" t="s">
        <v>164</v>
      </c>
      <c r="I9" s="417">
        <f>(I5+I6+I7+I8)*0.1</f>
        <v>72000</v>
      </c>
      <c r="J9" s="418"/>
      <c r="K9" s="419"/>
      <c r="L9" s="420"/>
      <c r="M9" s="427"/>
      <c r="N9" s="427"/>
      <c r="O9" s="428"/>
    </row>
    <row r="10" spans="1:16" ht="18.75" customHeight="1">
      <c r="B10" s="431" t="s">
        <v>169</v>
      </c>
      <c r="C10" s="432"/>
      <c r="D10" s="420" t="s">
        <v>164</v>
      </c>
      <c r="E10" s="435">
        <f>SUM(E5:G9)</f>
        <v>880000</v>
      </c>
      <c r="F10" s="436"/>
      <c r="G10" s="437"/>
      <c r="H10" s="420" t="s">
        <v>164</v>
      </c>
      <c r="I10" s="435">
        <f>SUM(I5:K9)</f>
        <v>792000</v>
      </c>
      <c r="J10" s="436"/>
      <c r="K10" s="437"/>
      <c r="L10" s="420"/>
      <c r="M10" s="427"/>
      <c r="N10" s="427"/>
      <c r="O10" s="428"/>
    </row>
    <row r="11" spans="1:16" ht="18.75" customHeight="1">
      <c r="B11" s="433"/>
      <c r="C11" s="434"/>
      <c r="D11" s="421"/>
      <c r="E11" s="438"/>
      <c r="F11" s="438"/>
      <c r="G11" s="439"/>
      <c r="H11" s="421"/>
      <c r="I11" s="438"/>
      <c r="J11" s="438"/>
      <c r="K11" s="439"/>
      <c r="L11" s="421"/>
      <c r="M11" s="429"/>
      <c r="N11" s="429"/>
      <c r="O11" s="430"/>
    </row>
    <row r="12" spans="1:16" ht="17.25" customHeight="1">
      <c r="B12" s="132"/>
      <c r="C12" s="132"/>
      <c r="D12" s="133"/>
      <c r="E12" s="130"/>
      <c r="F12" s="130"/>
      <c r="G12" s="130"/>
      <c r="H12" s="133"/>
      <c r="I12" s="130"/>
      <c r="J12" s="130"/>
      <c r="K12" s="130"/>
      <c r="L12" s="133"/>
      <c r="M12" s="133"/>
      <c r="N12" s="133"/>
      <c r="O12" s="133"/>
    </row>
    <row r="13" spans="1:16" ht="20.25" customHeight="1">
      <c r="A13" s="126" t="s">
        <v>170</v>
      </c>
    </row>
    <row r="14" spans="1:16" ht="28.5" customHeight="1">
      <c r="B14" s="397"/>
      <c r="C14" s="398"/>
      <c r="D14" s="399" t="s">
        <v>160</v>
      </c>
      <c r="E14" s="400"/>
      <c r="F14" s="400"/>
      <c r="G14" s="401"/>
      <c r="H14" s="402" t="s">
        <v>171</v>
      </c>
      <c r="I14" s="403"/>
      <c r="J14" s="403"/>
      <c r="K14" s="404"/>
      <c r="L14" s="405" t="s">
        <v>162</v>
      </c>
      <c r="M14" s="406"/>
      <c r="N14" s="406"/>
      <c r="O14" s="407"/>
    </row>
    <row r="15" spans="1:16" ht="20.25" customHeight="1">
      <c r="B15" s="408" t="s">
        <v>163</v>
      </c>
      <c r="C15" s="409"/>
      <c r="D15" s="127" t="s">
        <v>164</v>
      </c>
      <c r="E15" s="410">
        <v>50000</v>
      </c>
      <c r="F15" s="411"/>
      <c r="G15" s="412"/>
      <c r="H15" s="127" t="s">
        <v>164</v>
      </c>
      <c r="I15" s="410">
        <v>0</v>
      </c>
      <c r="J15" s="411"/>
      <c r="K15" s="413"/>
      <c r="L15" s="422" t="s">
        <v>164</v>
      </c>
      <c r="M15" s="423">
        <f>SUM(E20,I20)</f>
        <v>1474000</v>
      </c>
      <c r="N15" s="423"/>
      <c r="O15" s="424"/>
    </row>
    <row r="16" spans="1:16" ht="20.25" customHeight="1">
      <c r="B16" s="408" t="s">
        <v>165</v>
      </c>
      <c r="C16" s="409"/>
      <c r="D16" s="127" t="s">
        <v>164</v>
      </c>
      <c r="E16" s="410">
        <v>30000</v>
      </c>
      <c r="F16" s="411"/>
      <c r="G16" s="412"/>
      <c r="H16" s="127" t="s">
        <v>164</v>
      </c>
      <c r="I16" s="440">
        <v>0</v>
      </c>
      <c r="J16" s="440"/>
      <c r="K16" s="446"/>
      <c r="L16" s="420"/>
      <c r="M16" s="425"/>
      <c r="N16" s="425"/>
      <c r="O16" s="426"/>
    </row>
    <row r="17" spans="1:15" ht="20.25" customHeight="1">
      <c r="B17" s="408" t="s">
        <v>166</v>
      </c>
      <c r="C17" s="409"/>
      <c r="D17" s="127" t="s">
        <v>164</v>
      </c>
      <c r="E17" s="410">
        <f>'regular plan'!E17:G17</f>
        <v>660000</v>
      </c>
      <c r="F17" s="411"/>
      <c r="G17" s="412"/>
      <c r="H17" s="127" t="s">
        <v>164</v>
      </c>
      <c r="I17" s="410">
        <f>E17/4*3</f>
        <v>495000</v>
      </c>
      <c r="J17" s="411"/>
      <c r="K17" s="413"/>
      <c r="L17" s="420"/>
      <c r="M17" s="427"/>
      <c r="N17" s="427"/>
      <c r="O17" s="428"/>
    </row>
    <row r="18" spans="1:15" ht="20.25" customHeight="1">
      <c r="B18" s="391" t="s">
        <v>167</v>
      </c>
      <c r="C18" s="392"/>
      <c r="D18" s="128" t="s">
        <v>164</v>
      </c>
      <c r="E18" s="393">
        <f>'regular plan'!E18:G18</f>
        <v>60000</v>
      </c>
      <c r="F18" s="394"/>
      <c r="G18" s="395"/>
      <c r="H18" s="128" t="s">
        <v>164</v>
      </c>
      <c r="I18" s="393">
        <f>E18/4*3</f>
        <v>45000</v>
      </c>
      <c r="J18" s="394"/>
      <c r="K18" s="414"/>
      <c r="L18" s="420"/>
      <c r="M18" s="427"/>
      <c r="N18" s="427"/>
      <c r="O18" s="428"/>
    </row>
    <row r="19" spans="1:15" ht="20.25" customHeight="1">
      <c r="B19" s="415" t="s">
        <v>168</v>
      </c>
      <c r="C19" s="416"/>
      <c r="D19" s="129" t="s">
        <v>164</v>
      </c>
      <c r="E19" s="417">
        <f>(E15+E16+E17+E18)*0.1</f>
        <v>80000</v>
      </c>
      <c r="F19" s="418"/>
      <c r="G19" s="419"/>
      <c r="H19" s="129" t="s">
        <v>164</v>
      </c>
      <c r="I19" s="417">
        <f>(I17+I18)*0.1</f>
        <v>54000</v>
      </c>
      <c r="J19" s="418"/>
      <c r="K19" s="419"/>
      <c r="L19" s="420"/>
      <c r="M19" s="427"/>
      <c r="N19" s="427"/>
      <c r="O19" s="428"/>
    </row>
    <row r="20" spans="1:15" ht="18.75" customHeight="1">
      <c r="B20" s="447" t="s">
        <v>169</v>
      </c>
      <c r="C20" s="448"/>
      <c r="D20" s="420" t="s">
        <v>164</v>
      </c>
      <c r="E20" s="443">
        <f>SUM(E15:G19)</f>
        <v>880000</v>
      </c>
      <c r="F20" s="444"/>
      <c r="G20" s="445"/>
      <c r="H20" s="420" t="s">
        <v>164</v>
      </c>
      <c r="I20" s="443">
        <f>SUM(I15:K19)</f>
        <v>594000</v>
      </c>
      <c r="J20" s="444"/>
      <c r="K20" s="445"/>
      <c r="L20" s="420"/>
      <c r="M20" s="427"/>
      <c r="N20" s="427"/>
      <c r="O20" s="428"/>
    </row>
    <row r="21" spans="1:15" ht="18.75" customHeight="1">
      <c r="B21" s="433"/>
      <c r="C21" s="434"/>
      <c r="D21" s="421"/>
      <c r="E21" s="438"/>
      <c r="F21" s="438"/>
      <c r="G21" s="439"/>
      <c r="H21" s="421"/>
      <c r="I21" s="438"/>
      <c r="J21" s="438"/>
      <c r="K21" s="439"/>
      <c r="L21" s="421"/>
      <c r="M21" s="429"/>
      <c r="N21" s="429"/>
      <c r="O21" s="430"/>
    </row>
    <row r="22" spans="1:15" ht="17.25" customHeight="1">
      <c r="B22" s="132"/>
      <c r="C22" s="132"/>
      <c r="D22" s="133"/>
      <c r="E22" s="130"/>
      <c r="F22" s="130"/>
      <c r="G22" s="130"/>
      <c r="H22" s="133"/>
      <c r="I22" s="130"/>
      <c r="J22" s="130"/>
      <c r="K22" s="130"/>
      <c r="L22" s="133"/>
      <c r="M22" s="133"/>
      <c r="N22" s="133"/>
      <c r="O22" s="133"/>
    </row>
    <row r="23" spans="1:15" ht="20.25" customHeight="1">
      <c r="A23" s="126" t="s">
        <v>172</v>
      </c>
    </row>
    <row r="24" spans="1:15" ht="28.5" customHeight="1">
      <c r="B24" s="397"/>
      <c r="C24" s="398"/>
      <c r="D24" s="399" t="s">
        <v>160</v>
      </c>
      <c r="E24" s="400"/>
      <c r="F24" s="400"/>
      <c r="G24" s="401"/>
      <c r="H24" s="402" t="s">
        <v>173</v>
      </c>
      <c r="I24" s="403"/>
      <c r="J24" s="403"/>
      <c r="K24" s="404"/>
      <c r="L24" s="405" t="s">
        <v>162</v>
      </c>
      <c r="M24" s="406"/>
      <c r="N24" s="406"/>
      <c r="O24" s="407"/>
    </row>
    <row r="25" spans="1:15" ht="20.25" customHeight="1">
      <c r="B25" s="408" t="s">
        <v>163</v>
      </c>
      <c r="C25" s="409"/>
      <c r="D25" s="127" t="s">
        <v>164</v>
      </c>
      <c r="E25" s="410">
        <v>50000</v>
      </c>
      <c r="F25" s="411"/>
      <c r="G25" s="412"/>
      <c r="H25" s="127" t="s">
        <v>164</v>
      </c>
      <c r="I25" s="410">
        <v>0</v>
      </c>
      <c r="J25" s="411"/>
      <c r="K25" s="413"/>
      <c r="L25" s="422" t="s">
        <v>164</v>
      </c>
      <c r="M25" s="423">
        <f>SUM(E30,I30)</f>
        <v>1276000</v>
      </c>
      <c r="N25" s="423"/>
      <c r="O25" s="424"/>
    </row>
    <row r="26" spans="1:15" ht="20.25" customHeight="1">
      <c r="B26" s="408" t="s">
        <v>165</v>
      </c>
      <c r="C26" s="409"/>
      <c r="D26" s="127" t="s">
        <v>164</v>
      </c>
      <c r="E26" s="410">
        <v>30000</v>
      </c>
      <c r="F26" s="411"/>
      <c r="G26" s="412"/>
      <c r="H26" s="127" t="s">
        <v>164</v>
      </c>
      <c r="I26" s="440">
        <v>0</v>
      </c>
      <c r="J26" s="440"/>
      <c r="K26" s="446"/>
      <c r="L26" s="420"/>
      <c r="M26" s="425"/>
      <c r="N26" s="425"/>
      <c r="O26" s="426"/>
    </row>
    <row r="27" spans="1:15" ht="20.25" customHeight="1">
      <c r="B27" s="408" t="s">
        <v>166</v>
      </c>
      <c r="C27" s="409"/>
      <c r="D27" s="127" t="s">
        <v>164</v>
      </c>
      <c r="E27" s="410">
        <f>'regular plan'!E27:G27</f>
        <v>660000</v>
      </c>
      <c r="F27" s="411"/>
      <c r="G27" s="412"/>
      <c r="H27" s="127" t="s">
        <v>164</v>
      </c>
      <c r="I27" s="410">
        <f>E27/2</f>
        <v>330000</v>
      </c>
      <c r="J27" s="411"/>
      <c r="K27" s="413"/>
      <c r="L27" s="420"/>
      <c r="M27" s="427"/>
      <c r="N27" s="427"/>
      <c r="O27" s="428"/>
    </row>
    <row r="28" spans="1:15" ht="20.25" customHeight="1">
      <c r="B28" s="391" t="s">
        <v>167</v>
      </c>
      <c r="C28" s="392"/>
      <c r="D28" s="128" t="s">
        <v>164</v>
      </c>
      <c r="E28" s="393">
        <f>'regular plan'!E28:G28</f>
        <v>60000</v>
      </c>
      <c r="F28" s="394"/>
      <c r="G28" s="395"/>
      <c r="H28" s="128" t="s">
        <v>164</v>
      </c>
      <c r="I28" s="393">
        <f>E28/2</f>
        <v>30000</v>
      </c>
      <c r="J28" s="394"/>
      <c r="K28" s="414"/>
      <c r="L28" s="420"/>
      <c r="M28" s="427"/>
      <c r="N28" s="427"/>
      <c r="O28" s="428"/>
    </row>
    <row r="29" spans="1:15" ht="20.25" customHeight="1">
      <c r="B29" s="415" t="s">
        <v>168</v>
      </c>
      <c r="C29" s="416"/>
      <c r="D29" s="129" t="s">
        <v>164</v>
      </c>
      <c r="E29" s="417">
        <f>(E25+E26+E27+E28)*0.1</f>
        <v>80000</v>
      </c>
      <c r="F29" s="418"/>
      <c r="G29" s="419"/>
      <c r="H29" s="129" t="s">
        <v>164</v>
      </c>
      <c r="I29" s="417">
        <f>(I27+I28)*0.1</f>
        <v>36000</v>
      </c>
      <c r="J29" s="418"/>
      <c r="K29" s="419"/>
      <c r="L29" s="420"/>
      <c r="M29" s="427"/>
      <c r="N29" s="427"/>
      <c r="O29" s="428"/>
    </row>
    <row r="30" spans="1:15" ht="18.75" customHeight="1">
      <c r="B30" s="447" t="s">
        <v>169</v>
      </c>
      <c r="C30" s="448"/>
      <c r="D30" s="420" t="s">
        <v>164</v>
      </c>
      <c r="E30" s="443">
        <f>SUM(E25:G29)</f>
        <v>880000</v>
      </c>
      <c r="F30" s="444"/>
      <c r="G30" s="445"/>
      <c r="H30" s="420" t="s">
        <v>164</v>
      </c>
      <c r="I30" s="443">
        <f>SUM(I25:K29)</f>
        <v>396000</v>
      </c>
      <c r="J30" s="444"/>
      <c r="K30" s="445"/>
      <c r="L30" s="420"/>
      <c r="M30" s="427"/>
      <c r="N30" s="427"/>
      <c r="O30" s="428"/>
    </row>
    <row r="31" spans="1:15" ht="18.75" customHeight="1">
      <c r="B31" s="433"/>
      <c r="C31" s="434"/>
      <c r="D31" s="421"/>
      <c r="E31" s="438"/>
      <c r="F31" s="438"/>
      <c r="G31" s="439"/>
      <c r="H31" s="421"/>
      <c r="I31" s="438"/>
      <c r="J31" s="438"/>
      <c r="K31" s="439"/>
      <c r="L31" s="421"/>
      <c r="M31" s="429"/>
      <c r="N31" s="429"/>
      <c r="O31" s="430"/>
    </row>
    <row r="32" spans="1:15" ht="17.25" customHeight="1">
      <c r="B32" s="132"/>
      <c r="C32" s="132"/>
      <c r="D32" s="133"/>
      <c r="E32" s="130"/>
      <c r="F32" s="130"/>
      <c r="G32" s="130"/>
      <c r="H32" s="133"/>
      <c r="I32" s="130"/>
      <c r="J32" s="130"/>
      <c r="K32" s="130"/>
      <c r="L32" s="133"/>
      <c r="M32" s="133"/>
      <c r="N32" s="133"/>
      <c r="O32" s="133"/>
    </row>
    <row r="33" spans="1:16" ht="20.25" customHeight="1">
      <c r="A33" s="126" t="s">
        <v>174</v>
      </c>
    </row>
    <row r="34" spans="1:16" ht="28.5" customHeight="1">
      <c r="B34" s="397"/>
      <c r="C34" s="398"/>
      <c r="D34" s="399" t="s">
        <v>160</v>
      </c>
      <c r="E34" s="400"/>
      <c r="F34" s="400"/>
      <c r="G34" s="401"/>
      <c r="H34" s="402" t="s">
        <v>175</v>
      </c>
      <c r="I34" s="403"/>
      <c r="J34" s="403"/>
      <c r="K34" s="404"/>
      <c r="L34" s="405" t="s">
        <v>162</v>
      </c>
      <c r="M34" s="406"/>
      <c r="N34" s="406"/>
      <c r="O34" s="407"/>
    </row>
    <row r="35" spans="1:16" ht="20.25" customHeight="1">
      <c r="B35" s="408" t="s">
        <v>163</v>
      </c>
      <c r="C35" s="409"/>
      <c r="D35" s="127" t="s">
        <v>164</v>
      </c>
      <c r="E35" s="410">
        <v>50000</v>
      </c>
      <c r="F35" s="411"/>
      <c r="G35" s="412"/>
      <c r="H35" s="147" t="s">
        <v>164</v>
      </c>
      <c r="I35" s="410">
        <v>0</v>
      </c>
      <c r="J35" s="411"/>
      <c r="K35" s="413"/>
      <c r="L35" s="422" t="s">
        <v>164</v>
      </c>
      <c r="M35" s="435">
        <f>SUM(E40,I40)</f>
        <v>1078000</v>
      </c>
      <c r="N35" s="435"/>
      <c r="O35" s="487"/>
    </row>
    <row r="36" spans="1:16" ht="20.25" customHeight="1">
      <c r="B36" s="408" t="s">
        <v>165</v>
      </c>
      <c r="C36" s="409"/>
      <c r="D36" s="127" t="s">
        <v>164</v>
      </c>
      <c r="E36" s="410">
        <v>30000</v>
      </c>
      <c r="F36" s="411"/>
      <c r="G36" s="412"/>
      <c r="H36" s="147" t="s">
        <v>164</v>
      </c>
      <c r="I36" s="410">
        <v>0</v>
      </c>
      <c r="J36" s="411"/>
      <c r="K36" s="413"/>
      <c r="L36" s="420"/>
      <c r="M36" s="435"/>
      <c r="N36" s="435"/>
      <c r="O36" s="487"/>
    </row>
    <row r="37" spans="1:16" ht="20.25" customHeight="1">
      <c r="B37" s="408" t="s">
        <v>166</v>
      </c>
      <c r="C37" s="409"/>
      <c r="D37" s="127" t="s">
        <v>164</v>
      </c>
      <c r="E37" s="410">
        <f>'regular plan'!E37:G37</f>
        <v>660000</v>
      </c>
      <c r="F37" s="411"/>
      <c r="G37" s="412"/>
      <c r="H37" s="147" t="s">
        <v>164</v>
      </c>
      <c r="I37" s="410">
        <f>E37/4</f>
        <v>165000</v>
      </c>
      <c r="J37" s="411"/>
      <c r="K37" s="413"/>
      <c r="L37" s="420"/>
      <c r="M37" s="488"/>
      <c r="N37" s="488"/>
      <c r="O37" s="489"/>
    </row>
    <row r="38" spans="1:16" ht="20.25" customHeight="1">
      <c r="B38" s="391" t="s">
        <v>167</v>
      </c>
      <c r="C38" s="392"/>
      <c r="D38" s="128" t="s">
        <v>164</v>
      </c>
      <c r="E38" s="393">
        <f>'regular plan'!E38:G38</f>
        <v>60000</v>
      </c>
      <c r="F38" s="394"/>
      <c r="G38" s="395"/>
      <c r="H38" s="148" t="s">
        <v>164</v>
      </c>
      <c r="I38" s="393">
        <f>E38/4</f>
        <v>15000</v>
      </c>
      <c r="J38" s="394"/>
      <c r="K38" s="414"/>
      <c r="L38" s="420"/>
      <c r="M38" s="488"/>
      <c r="N38" s="488"/>
      <c r="O38" s="489"/>
    </row>
    <row r="39" spans="1:16" ht="20.25" customHeight="1">
      <c r="B39" s="415" t="s">
        <v>168</v>
      </c>
      <c r="C39" s="416"/>
      <c r="D39" s="129" t="s">
        <v>164</v>
      </c>
      <c r="E39" s="417">
        <f>(E35+E36+E37+E38)*0.1</f>
        <v>80000</v>
      </c>
      <c r="F39" s="418"/>
      <c r="G39" s="419"/>
      <c r="H39" s="129" t="s">
        <v>164</v>
      </c>
      <c r="I39" s="417">
        <f>(I37+I38)*0.1</f>
        <v>18000</v>
      </c>
      <c r="J39" s="418"/>
      <c r="K39" s="419"/>
      <c r="L39" s="420"/>
      <c r="M39" s="488"/>
      <c r="N39" s="488"/>
      <c r="O39" s="489"/>
    </row>
    <row r="40" spans="1:16" ht="18.75" customHeight="1">
      <c r="B40" s="447" t="s">
        <v>169</v>
      </c>
      <c r="C40" s="448"/>
      <c r="D40" s="420" t="s">
        <v>164</v>
      </c>
      <c r="E40" s="443">
        <f>SUM(E35:G39)</f>
        <v>880000</v>
      </c>
      <c r="F40" s="444"/>
      <c r="G40" s="445"/>
      <c r="H40" s="500" t="s">
        <v>164</v>
      </c>
      <c r="I40" s="443">
        <f>SUM(I35:K39)</f>
        <v>198000</v>
      </c>
      <c r="J40" s="444"/>
      <c r="K40" s="445"/>
      <c r="L40" s="420"/>
      <c r="M40" s="488"/>
      <c r="N40" s="488"/>
      <c r="O40" s="489"/>
    </row>
    <row r="41" spans="1:16" ht="18.75" customHeight="1">
      <c r="B41" s="433"/>
      <c r="C41" s="434"/>
      <c r="D41" s="421"/>
      <c r="E41" s="438"/>
      <c r="F41" s="438"/>
      <c r="G41" s="439"/>
      <c r="H41" s="501"/>
      <c r="I41" s="438"/>
      <c r="J41" s="438"/>
      <c r="K41" s="439"/>
      <c r="L41" s="421"/>
      <c r="M41" s="490"/>
      <c r="N41" s="490"/>
      <c r="O41" s="491"/>
    </row>
    <row r="42" spans="1:16" ht="17.25" customHeight="1">
      <c r="B42" s="131"/>
      <c r="C42" s="149"/>
      <c r="D42" s="149"/>
      <c r="E42" s="150"/>
      <c r="F42" s="150"/>
      <c r="G42" s="464" t="s">
        <v>176</v>
      </c>
      <c r="H42" s="464"/>
      <c r="I42" s="464"/>
      <c r="J42" s="464"/>
      <c r="K42" s="464"/>
      <c r="L42" s="464"/>
      <c r="M42" s="464"/>
      <c r="N42" s="464"/>
      <c r="O42" s="464"/>
    </row>
    <row r="43" spans="1:16" ht="18">
      <c r="G43" s="464"/>
      <c r="H43" s="464"/>
      <c r="I43" s="464"/>
      <c r="J43" s="464"/>
      <c r="K43" s="464"/>
      <c r="L43" s="464"/>
      <c r="M43" s="464"/>
      <c r="N43" s="464"/>
      <c r="O43" s="464"/>
    </row>
    <row r="45" spans="1:16">
      <c r="N45" s="250" t="s">
        <v>158</v>
      </c>
      <c r="O45" s="250"/>
      <c r="P45" s="250"/>
    </row>
    <row r="48" spans="1:16">
      <c r="A48" s="492" t="s">
        <v>177</v>
      </c>
      <c r="B48" s="492"/>
      <c r="C48" s="492"/>
      <c r="D48" s="492"/>
      <c r="E48" s="492"/>
      <c r="F48" s="492"/>
      <c r="G48" s="492"/>
      <c r="H48" s="492"/>
      <c r="I48" s="492"/>
      <c r="J48" s="492"/>
      <c r="K48" s="492"/>
      <c r="L48" s="492"/>
      <c r="M48" s="492"/>
      <c r="N48" s="492"/>
      <c r="O48" s="492"/>
    </row>
    <row r="49" spans="1:15" s="123" customFormat="1" ht="18">
      <c r="A49" s="492"/>
      <c r="B49" s="492"/>
      <c r="C49" s="492"/>
      <c r="D49" s="492"/>
      <c r="E49" s="492"/>
      <c r="F49" s="492"/>
      <c r="G49" s="492"/>
      <c r="H49" s="492"/>
      <c r="I49" s="492"/>
      <c r="J49" s="492"/>
      <c r="K49" s="492"/>
      <c r="L49" s="492"/>
      <c r="M49" s="492"/>
      <c r="N49" s="492"/>
      <c r="O49" s="492"/>
    </row>
    <row r="50" spans="1:15" s="123" customFormat="1" ht="18"/>
    <row r="51" spans="1:15" s="123" customFormat="1" ht="43.5" customHeight="1">
      <c r="B51" s="134" t="s">
        <v>178</v>
      </c>
      <c r="C51" s="135"/>
      <c r="D51" s="493" t="s">
        <v>179</v>
      </c>
      <c r="E51" s="494"/>
      <c r="F51" s="494"/>
      <c r="G51" s="495"/>
      <c r="H51" s="136"/>
      <c r="I51" s="136"/>
      <c r="J51" s="136"/>
      <c r="K51" s="136"/>
      <c r="L51" s="136"/>
      <c r="M51" s="136"/>
      <c r="N51" s="136"/>
      <c r="O51" s="140"/>
    </row>
    <row r="52" spans="1:15" s="123" customFormat="1" ht="43.5" customHeight="1">
      <c r="B52" s="496" t="s">
        <v>180</v>
      </c>
      <c r="C52" s="497"/>
      <c r="D52" s="498" t="s">
        <v>181</v>
      </c>
      <c r="E52" s="499"/>
      <c r="F52" s="499"/>
      <c r="G52" s="472"/>
      <c r="H52" s="136"/>
      <c r="I52" s="136"/>
      <c r="J52" s="136"/>
      <c r="K52" s="136"/>
      <c r="L52" s="136"/>
      <c r="M52" s="136"/>
      <c r="N52" s="136"/>
      <c r="O52" s="140"/>
    </row>
    <row r="53" spans="1:15" s="123" customFormat="1" ht="43.5" customHeight="1">
      <c r="B53" s="476" t="s">
        <v>182</v>
      </c>
      <c r="C53" s="477"/>
      <c r="D53" s="480" t="s">
        <v>183</v>
      </c>
      <c r="E53" s="481"/>
      <c r="F53" s="481"/>
      <c r="G53" s="482"/>
      <c r="H53" s="459" t="s">
        <v>184</v>
      </c>
      <c r="I53" s="459"/>
      <c r="J53" s="459"/>
      <c r="K53" s="459"/>
      <c r="L53" s="136"/>
      <c r="M53" s="136"/>
      <c r="N53" s="136"/>
      <c r="O53" s="140"/>
    </row>
    <row r="54" spans="1:15" s="123" customFormat="1" ht="43.5" customHeight="1">
      <c r="B54" s="478"/>
      <c r="C54" s="479"/>
      <c r="D54" s="483"/>
      <c r="E54" s="484"/>
      <c r="F54" s="484"/>
      <c r="G54" s="485"/>
      <c r="H54" s="486"/>
      <c r="I54" s="486"/>
      <c r="J54" s="486"/>
      <c r="K54" s="486"/>
      <c r="L54" s="151"/>
      <c r="M54" s="151"/>
      <c r="N54" s="151"/>
      <c r="O54" s="152"/>
    </row>
    <row r="55" spans="1:15" s="123" customFormat="1" ht="43.5" customHeight="1">
      <c r="B55" s="449" t="s">
        <v>185</v>
      </c>
      <c r="C55" s="450"/>
      <c r="D55" s="451" t="s">
        <v>186</v>
      </c>
      <c r="E55" s="452"/>
      <c r="F55" s="452"/>
      <c r="G55" s="453"/>
      <c r="H55" s="137"/>
      <c r="I55" s="137"/>
      <c r="J55" s="137"/>
      <c r="K55" s="137"/>
      <c r="O55" s="141"/>
    </row>
    <row r="56" spans="1:15" s="123" customFormat="1" ht="74.25" customHeight="1">
      <c r="B56" s="454" t="s">
        <v>187</v>
      </c>
      <c r="C56" s="455"/>
      <c r="D56" s="456" t="s">
        <v>188</v>
      </c>
      <c r="E56" s="457"/>
      <c r="F56" s="457"/>
      <c r="G56" s="457"/>
      <c r="H56" s="457"/>
      <c r="I56" s="457"/>
      <c r="J56" s="457"/>
      <c r="K56" s="457"/>
      <c r="L56" s="457"/>
      <c r="M56" s="457"/>
      <c r="N56" s="457"/>
      <c r="O56" s="458"/>
    </row>
    <row r="57" spans="1:15" s="123" customFormat="1" ht="43.5" customHeight="1">
      <c r="B57" s="465" t="s">
        <v>189</v>
      </c>
      <c r="C57" s="466"/>
      <c r="D57" s="467" t="s">
        <v>190</v>
      </c>
      <c r="E57" s="468"/>
      <c r="F57" s="468"/>
      <c r="G57" s="469"/>
      <c r="H57" s="151" t="s">
        <v>191</v>
      </c>
      <c r="I57" s="151"/>
      <c r="J57" s="151"/>
      <c r="K57" s="152"/>
      <c r="L57" s="151" t="s">
        <v>192</v>
      </c>
      <c r="M57" s="151"/>
      <c r="N57" s="151"/>
      <c r="O57" s="152"/>
    </row>
    <row r="58" spans="1:15" s="123" customFormat="1" ht="43.5" customHeight="1">
      <c r="B58" s="465"/>
      <c r="C58" s="466"/>
      <c r="D58" s="470"/>
      <c r="E58" s="471"/>
      <c r="F58" s="471"/>
      <c r="G58" s="472"/>
      <c r="H58" s="135" t="s">
        <v>193</v>
      </c>
      <c r="I58" s="135"/>
      <c r="J58" s="135"/>
      <c r="K58" s="144"/>
      <c r="L58" s="135" t="s">
        <v>194</v>
      </c>
      <c r="M58" s="135"/>
      <c r="N58" s="135"/>
      <c r="O58" s="144"/>
    </row>
    <row r="59" spans="1:15" s="123" customFormat="1" ht="43.5" customHeight="1">
      <c r="B59" s="465"/>
      <c r="C59" s="466"/>
      <c r="D59" s="473"/>
      <c r="E59" s="474"/>
      <c r="F59" s="474"/>
      <c r="G59" s="475"/>
      <c r="H59" s="459" t="s">
        <v>195</v>
      </c>
      <c r="I59" s="459"/>
      <c r="J59" s="459"/>
      <c r="K59" s="460"/>
      <c r="L59" s="136" t="s">
        <v>196</v>
      </c>
      <c r="M59" s="136"/>
      <c r="N59" s="136"/>
      <c r="O59" s="140"/>
    </row>
    <row r="60" spans="1:15" s="123" customFormat="1" ht="74.25" customHeight="1">
      <c r="B60" s="454" t="s">
        <v>197</v>
      </c>
      <c r="C60" s="455"/>
      <c r="D60" s="456" t="s">
        <v>198</v>
      </c>
      <c r="E60" s="457"/>
      <c r="F60" s="457"/>
      <c r="G60" s="457"/>
      <c r="H60" s="457"/>
      <c r="I60" s="457"/>
      <c r="J60" s="457"/>
      <c r="K60" s="457"/>
      <c r="L60" s="457"/>
      <c r="M60" s="457"/>
      <c r="N60" s="457"/>
      <c r="O60" s="458"/>
    </row>
    <row r="61" spans="1:15" ht="15" customHeight="1"/>
    <row r="62" spans="1:15" ht="74.25" customHeight="1">
      <c r="B62" s="461" t="s">
        <v>199</v>
      </c>
      <c r="C62" s="462"/>
      <c r="D62" s="462"/>
      <c r="E62" s="462"/>
      <c r="F62" s="462"/>
      <c r="G62" s="462"/>
      <c r="H62" s="462"/>
      <c r="I62" s="462"/>
      <c r="J62" s="462"/>
      <c r="K62" s="462"/>
      <c r="L62" s="462"/>
      <c r="M62" s="462"/>
      <c r="N62" s="462"/>
      <c r="O62" s="463"/>
    </row>
    <row r="63" spans="1:15" ht="74.25" customHeight="1">
      <c r="G63" s="464" t="s">
        <v>176</v>
      </c>
      <c r="H63" s="464"/>
      <c r="I63" s="464"/>
      <c r="J63" s="464"/>
      <c r="K63" s="464"/>
      <c r="L63" s="464"/>
      <c r="M63" s="464"/>
      <c r="N63" s="464"/>
      <c r="O63" s="464"/>
    </row>
    <row r="64" spans="1:15" ht="74.25" customHeight="1"/>
  </sheetData>
  <mergeCells count="127">
    <mergeCell ref="B53:C54"/>
    <mergeCell ref="D53:G54"/>
    <mergeCell ref="H53:K54"/>
    <mergeCell ref="B20:C21"/>
    <mergeCell ref="M25:O31"/>
    <mergeCell ref="M35:O41"/>
    <mergeCell ref="E40:G41"/>
    <mergeCell ref="B40:C41"/>
    <mergeCell ref="A48:O49"/>
    <mergeCell ref="E30:G31"/>
    <mergeCell ref="I30:K31"/>
    <mergeCell ref="I40:K41"/>
    <mergeCell ref="B39:C39"/>
    <mergeCell ref="E39:G39"/>
    <mergeCell ref="I39:K39"/>
    <mergeCell ref="G42:O42"/>
    <mergeCell ref="G43:O43"/>
    <mergeCell ref="N45:P45"/>
    <mergeCell ref="D51:G51"/>
    <mergeCell ref="B52:C52"/>
    <mergeCell ref="D52:G52"/>
    <mergeCell ref="D40:D41"/>
    <mergeCell ref="H40:H41"/>
    <mergeCell ref="L35:L41"/>
    <mergeCell ref="B55:C55"/>
    <mergeCell ref="D55:G55"/>
    <mergeCell ref="B56:C56"/>
    <mergeCell ref="D56:O56"/>
    <mergeCell ref="H59:K59"/>
    <mergeCell ref="B60:C60"/>
    <mergeCell ref="D60:O60"/>
    <mergeCell ref="B62:O62"/>
    <mergeCell ref="G63:O63"/>
    <mergeCell ref="B57:C59"/>
    <mergeCell ref="D57:G59"/>
    <mergeCell ref="B36:C36"/>
    <mergeCell ref="E36:G36"/>
    <mergeCell ref="I36:K36"/>
    <mergeCell ref="B37:C37"/>
    <mergeCell ref="E37:G37"/>
    <mergeCell ref="I37:K37"/>
    <mergeCell ref="B38:C38"/>
    <mergeCell ref="E38:G38"/>
    <mergeCell ref="I38:K38"/>
    <mergeCell ref="B29:C29"/>
    <mergeCell ref="E29:G29"/>
    <mergeCell ref="I29:K29"/>
    <mergeCell ref="B34:C34"/>
    <mergeCell ref="D34:G34"/>
    <mergeCell ref="H34:K34"/>
    <mergeCell ref="L34:O34"/>
    <mergeCell ref="B35:C35"/>
    <mergeCell ref="E35:G35"/>
    <mergeCell ref="I35:K35"/>
    <mergeCell ref="D30:D31"/>
    <mergeCell ref="H30:H31"/>
    <mergeCell ref="L25:L31"/>
    <mergeCell ref="B30:C31"/>
    <mergeCell ref="B26:C26"/>
    <mergeCell ref="E26:G26"/>
    <mergeCell ref="I26:K26"/>
    <mergeCell ref="B27:C27"/>
    <mergeCell ref="E27:G27"/>
    <mergeCell ref="I27:K27"/>
    <mergeCell ref="B28:C28"/>
    <mergeCell ref="E28:G28"/>
    <mergeCell ref="I28:K28"/>
    <mergeCell ref="B19:C19"/>
    <mergeCell ref="E19:G19"/>
    <mergeCell ref="I19:K19"/>
    <mergeCell ref="B24:C24"/>
    <mergeCell ref="D24:G24"/>
    <mergeCell ref="H24:K24"/>
    <mergeCell ref="L24:O24"/>
    <mergeCell ref="B25:C25"/>
    <mergeCell ref="E25:G25"/>
    <mergeCell ref="I25:K25"/>
    <mergeCell ref="D20:D21"/>
    <mergeCell ref="H20:H21"/>
    <mergeCell ref="L15:L21"/>
    <mergeCell ref="M15:O21"/>
    <mergeCell ref="E20:G21"/>
    <mergeCell ref="I20:K21"/>
    <mergeCell ref="B16:C16"/>
    <mergeCell ref="E16:G16"/>
    <mergeCell ref="I16:K16"/>
    <mergeCell ref="B17:C17"/>
    <mergeCell ref="E17:G17"/>
    <mergeCell ref="I17:K17"/>
    <mergeCell ref="B18:C18"/>
    <mergeCell ref="E18:G18"/>
    <mergeCell ref="I18:K18"/>
    <mergeCell ref="B9:C9"/>
    <mergeCell ref="E9:G9"/>
    <mergeCell ref="I9:K9"/>
    <mergeCell ref="B14:C14"/>
    <mergeCell ref="D14:G14"/>
    <mergeCell ref="H14:K14"/>
    <mergeCell ref="L14:O14"/>
    <mergeCell ref="B15:C15"/>
    <mergeCell ref="E15:G15"/>
    <mergeCell ref="I15:K15"/>
    <mergeCell ref="D10:D11"/>
    <mergeCell ref="H10:H11"/>
    <mergeCell ref="L5:L11"/>
    <mergeCell ref="M5:O11"/>
    <mergeCell ref="B10:C11"/>
    <mergeCell ref="E10:G11"/>
    <mergeCell ref="I10:K11"/>
    <mergeCell ref="B6:C6"/>
    <mergeCell ref="E6:G6"/>
    <mergeCell ref="I6:K6"/>
    <mergeCell ref="B7:C7"/>
    <mergeCell ref="E7:G7"/>
    <mergeCell ref="I7:K7"/>
    <mergeCell ref="B8:C8"/>
    <mergeCell ref="E8:G8"/>
    <mergeCell ref="I8:K8"/>
    <mergeCell ref="A1:P1"/>
    <mergeCell ref="N3:P3"/>
    <mergeCell ref="B4:C4"/>
    <mergeCell ref="D4:G4"/>
    <mergeCell ref="H4:K4"/>
    <mergeCell ref="L4:O4"/>
    <mergeCell ref="B5:C5"/>
    <mergeCell ref="E5:G5"/>
    <mergeCell ref="I5:K5"/>
  </mergeCells>
  <pageMargins left="0.74791666666666701" right="0.35416666666666702" top="0.59027777777777801" bottom="0.196527777777778" header="0.51111111111111096" footer="0.51111111111111096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opLeftCell="A112" workbookViewId="0">
      <selection activeCell="D13" sqref="D13"/>
    </sheetView>
  </sheetViews>
  <sheetFormatPr defaultColWidth="9" defaultRowHeight="14.25"/>
  <cols>
    <col min="1" max="1" width="3.625" style="124" customWidth="1"/>
    <col min="2" max="3" width="10" style="124" customWidth="1"/>
    <col min="4" max="4" width="3.125" style="124" customWidth="1"/>
    <col min="5" max="7" width="4.125" style="124" customWidth="1"/>
    <col min="8" max="8" width="3.125" style="124" customWidth="1"/>
    <col min="9" max="11" width="4.125" style="124" customWidth="1"/>
    <col min="12" max="12" width="3.125" style="124" customWidth="1"/>
    <col min="13" max="15" width="4.125" style="124" customWidth="1"/>
    <col min="16" max="16" width="3.125" style="124" customWidth="1"/>
    <col min="17" max="19" width="4.125" style="124" customWidth="1"/>
    <col min="20" max="53" width="3.625" style="124" customWidth="1"/>
    <col min="54" max="16384" width="9" style="124"/>
  </cols>
  <sheetData>
    <row r="1" spans="1:19" ht="20.25" customHeight="1">
      <c r="A1" s="396" t="s">
        <v>156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</row>
    <row r="2" spans="1:19" ht="1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502" t="s">
        <v>158</v>
      </c>
      <c r="R2" s="250"/>
      <c r="S2" s="250"/>
    </row>
    <row r="3" spans="1:19" ht="20.25" customHeight="1">
      <c r="A3" s="126" t="s">
        <v>157</v>
      </c>
    </row>
    <row r="4" spans="1:19" ht="33" customHeight="1">
      <c r="A4" s="126"/>
      <c r="B4" s="397"/>
      <c r="C4" s="398"/>
      <c r="D4" s="399" t="s">
        <v>200</v>
      </c>
      <c r="E4" s="400"/>
      <c r="F4" s="400"/>
      <c r="G4" s="401"/>
      <c r="H4" s="405" t="s">
        <v>201</v>
      </c>
      <c r="I4" s="406"/>
      <c r="J4" s="406"/>
      <c r="K4" s="407"/>
      <c r="L4" s="503" t="s">
        <v>202</v>
      </c>
      <c r="M4" s="504"/>
      <c r="N4" s="504"/>
      <c r="O4" s="505"/>
      <c r="P4" s="506" t="s">
        <v>162</v>
      </c>
      <c r="Q4" s="507"/>
      <c r="R4" s="507"/>
      <c r="S4" s="508"/>
    </row>
    <row r="5" spans="1:19" ht="20.25" customHeight="1">
      <c r="A5" s="126"/>
      <c r="B5" s="408" t="s">
        <v>163</v>
      </c>
      <c r="C5" s="409"/>
      <c r="D5" s="127" t="s">
        <v>164</v>
      </c>
      <c r="E5" s="410">
        <v>50000</v>
      </c>
      <c r="F5" s="411"/>
      <c r="G5" s="412"/>
      <c r="H5" s="509"/>
      <c r="I5" s="510"/>
      <c r="J5" s="510"/>
      <c r="K5" s="511"/>
      <c r="L5" s="509"/>
      <c r="M5" s="510"/>
      <c r="N5" s="510"/>
      <c r="O5" s="511"/>
      <c r="P5" s="538" t="s">
        <v>203</v>
      </c>
      <c r="Q5" s="541">
        <f>SUM(E10,I10,M10)</f>
        <v>1672000</v>
      </c>
      <c r="R5" s="542"/>
      <c r="S5" s="543"/>
    </row>
    <row r="6" spans="1:19" ht="20.25" customHeight="1">
      <c r="A6" s="126"/>
      <c r="B6" s="408" t="s">
        <v>165</v>
      </c>
      <c r="C6" s="409"/>
      <c r="D6" s="127" t="s">
        <v>164</v>
      </c>
      <c r="E6" s="410">
        <v>30000</v>
      </c>
      <c r="F6" s="411"/>
      <c r="G6" s="412"/>
      <c r="H6" s="509"/>
      <c r="I6" s="510"/>
      <c r="J6" s="510"/>
      <c r="K6" s="511"/>
      <c r="L6" s="509"/>
      <c r="M6" s="510"/>
      <c r="N6" s="510"/>
      <c r="O6" s="511"/>
      <c r="P6" s="539"/>
      <c r="Q6" s="544"/>
      <c r="R6" s="544"/>
      <c r="S6" s="545"/>
    </row>
    <row r="7" spans="1:19" ht="20.25" customHeight="1">
      <c r="A7" s="126"/>
      <c r="B7" s="408" t="s">
        <v>166</v>
      </c>
      <c r="C7" s="409"/>
      <c r="D7" s="127" t="s">
        <v>164</v>
      </c>
      <c r="E7" s="410">
        <f>'installment plan'!E7:G7*2</f>
        <v>660000</v>
      </c>
      <c r="F7" s="411"/>
      <c r="G7" s="412"/>
      <c r="H7" s="127" t="s">
        <v>164</v>
      </c>
      <c r="I7" s="410">
        <f>'installment plan'!I7:K7</f>
        <v>330000</v>
      </c>
      <c r="J7" s="411"/>
      <c r="K7" s="412"/>
      <c r="L7" s="127" t="s">
        <v>164</v>
      </c>
      <c r="M7" s="410">
        <f>'installment plan'!M7:O7</f>
        <v>330000</v>
      </c>
      <c r="N7" s="411"/>
      <c r="O7" s="412"/>
      <c r="P7" s="539"/>
      <c r="Q7" s="544"/>
      <c r="R7" s="544"/>
      <c r="S7" s="545"/>
    </row>
    <row r="8" spans="1:19" ht="20.25" customHeight="1">
      <c r="A8" s="126"/>
      <c r="B8" s="391" t="s">
        <v>167</v>
      </c>
      <c r="C8" s="392"/>
      <c r="D8" s="128" t="s">
        <v>164</v>
      </c>
      <c r="E8" s="393">
        <f>'installment plan'!E8:G8*2</f>
        <v>60000</v>
      </c>
      <c r="F8" s="394"/>
      <c r="G8" s="395"/>
      <c r="H8" s="128" t="s">
        <v>164</v>
      </c>
      <c r="I8" s="393">
        <f>'installment plan'!I8:K8</f>
        <v>30000</v>
      </c>
      <c r="J8" s="394"/>
      <c r="K8" s="414"/>
      <c r="L8" s="128" t="s">
        <v>164</v>
      </c>
      <c r="M8" s="393">
        <f>'installment plan'!M8:O8</f>
        <v>30000</v>
      </c>
      <c r="N8" s="394"/>
      <c r="O8" s="414"/>
      <c r="P8" s="539"/>
      <c r="Q8" s="544"/>
      <c r="R8" s="544"/>
      <c r="S8" s="545"/>
    </row>
    <row r="9" spans="1:19" ht="20.25" customHeight="1">
      <c r="A9" s="126"/>
      <c r="B9" s="415" t="s">
        <v>168</v>
      </c>
      <c r="C9" s="416"/>
      <c r="D9" s="129" t="s">
        <v>164</v>
      </c>
      <c r="E9" s="512">
        <f>(E5+E6+E7+E8)*0.1</f>
        <v>80000</v>
      </c>
      <c r="F9" s="513"/>
      <c r="G9" s="416"/>
      <c r="H9" s="129" t="s">
        <v>164</v>
      </c>
      <c r="I9" s="417">
        <f>(I7+I8)*0.1</f>
        <v>36000</v>
      </c>
      <c r="J9" s="418"/>
      <c r="K9" s="419"/>
      <c r="L9" s="129" t="s">
        <v>164</v>
      </c>
      <c r="M9" s="417">
        <f>(M7+M8)*0.1</f>
        <v>36000</v>
      </c>
      <c r="N9" s="418"/>
      <c r="O9" s="419"/>
      <c r="P9" s="539"/>
      <c r="Q9" s="544"/>
      <c r="R9" s="544"/>
      <c r="S9" s="545"/>
    </row>
    <row r="10" spans="1:19" ht="18" customHeight="1">
      <c r="A10" s="126"/>
      <c r="B10" s="431" t="s">
        <v>169</v>
      </c>
      <c r="C10" s="432"/>
      <c r="D10" s="420" t="s">
        <v>164</v>
      </c>
      <c r="E10" s="435">
        <f>SUM(E5:G9)</f>
        <v>880000</v>
      </c>
      <c r="F10" s="436"/>
      <c r="G10" s="437"/>
      <c r="H10" s="420" t="s">
        <v>164</v>
      </c>
      <c r="I10" s="435">
        <f>SUM(I5:K9)</f>
        <v>396000</v>
      </c>
      <c r="J10" s="436"/>
      <c r="K10" s="437"/>
      <c r="L10" s="420" t="s">
        <v>164</v>
      </c>
      <c r="M10" s="435">
        <f>SUM(M5:O9)</f>
        <v>396000</v>
      </c>
      <c r="N10" s="436"/>
      <c r="O10" s="437"/>
      <c r="P10" s="539"/>
      <c r="Q10" s="544"/>
      <c r="R10" s="544"/>
      <c r="S10" s="545"/>
    </row>
    <row r="11" spans="1:19" ht="18" customHeight="1">
      <c r="A11" s="126"/>
      <c r="B11" s="433"/>
      <c r="C11" s="434"/>
      <c r="D11" s="421"/>
      <c r="E11" s="438"/>
      <c r="F11" s="438"/>
      <c r="G11" s="439"/>
      <c r="H11" s="421"/>
      <c r="I11" s="438"/>
      <c r="J11" s="438"/>
      <c r="K11" s="439"/>
      <c r="L11" s="421"/>
      <c r="M11" s="438"/>
      <c r="N11" s="438"/>
      <c r="O11" s="439"/>
      <c r="P11" s="540"/>
      <c r="Q11" s="546"/>
      <c r="R11" s="546"/>
      <c r="S11" s="547"/>
    </row>
    <row r="12" spans="1:19" ht="16.5" customHeight="1">
      <c r="A12" s="126"/>
    </row>
    <row r="13" spans="1:19" ht="20.25" customHeight="1">
      <c r="A13" s="126" t="s">
        <v>170</v>
      </c>
    </row>
    <row r="14" spans="1:19" ht="33" customHeight="1">
      <c r="A14" s="126"/>
      <c r="B14" s="397"/>
      <c r="C14" s="398"/>
      <c r="D14" s="399" t="s">
        <v>200</v>
      </c>
      <c r="E14" s="400"/>
      <c r="F14" s="400"/>
      <c r="G14" s="401"/>
      <c r="H14" s="405" t="s">
        <v>204</v>
      </c>
      <c r="I14" s="406"/>
      <c r="J14" s="406"/>
      <c r="K14" s="407"/>
      <c r="L14" s="503" t="s">
        <v>205</v>
      </c>
      <c r="M14" s="504"/>
      <c r="N14" s="504"/>
      <c r="O14" s="505"/>
      <c r="P14" s="506" t="s">
        <v>162</v>
      </c>
      <c r="Q14" s="507"/>
      <c r="R14" s="507"/>
      <c r="S14" s="508"/>
    </row>
    <row r="15" spans="1:19" ht="20.25" customHeight="1">
      <c r="A15" s="126"/>
      <c r="B15" s="408" t="s">
        <v>163</v>
      </c>
      <c r="C15" s="409"/>
      <c r="D15" s="127" t="s">
        <v>164</v>
      </c>
      <c r="E15" s="410">
        <v>50000</v>
      </c>
      <c r="F15" s="411"/>
      <c r="G15" s="412"/>
      <c r="H15" s="509"/>
      <c r="I15" s="510"/>
      <c r="J15" s="510"/>
      <c r="K15" s="511"/>
      <c r="L15" s="509"/>
      <c r="M15" s="510"/>
      <c r="N15" s="510"/>
      <c r="O15" s="511"/>
      <c r="P15" s="538" t="s">
        <v>203</v>
      </c>
      <c r="Q15" s="541">
        <f>SUM(E20,I20,M20)</f>
        <v>1474000</v>
      </c>
      <c r="R15" s="542"/>
      <c r="S15" s="543"/>
    </row>
    <row r="16" spans="1:19" ht="20.25" customHeight="1">
      <c r="A16" s="126"/>
      <c r="B16" s="408" t="s">
        <v>165</v>
      </c>
      <c r="C16" s="409"/>
      <c r="D16" s="127" t="s">
        <v>164</v>
      </c>
      <c r="E16" s="410">
        <v>30000</v>
      </c>
      <c r="F16" s="411"/>
      <c r="G16" s="412"/>
      <c r="H16" s="514"/>
      <c r="I16" s="515"/>
      <c r="J16" s="515"/>
      <c r="K16" s="516"/>
      <c r="L16" s="514"/>
      <c r="M16" s="515"/>
      <c r="N16" s="515"/>
      <c r="O16" s="516"/>
      <c r="P16" s="539"/>
      <c r="Q16" s="544"/>
      <c r="R16" s="544"/>
      <c r="S16" s="545"/>
    </row>
    <row r="17" spans="1:19" ht="20.25" customHeight="1">
      <c r="A17" s="126"/>
      <c r="B17" s="408" t="s">
        <v>166</v>
      </c>
      <c r="C17" s="409"/>
      <c r="D17" s="127" t="s">
        <v>164</v>
      </c>
      <c r="E17" s="410">
        <f>'installment plan'!E17:G17*2</f>
        <v>660000</v>
      </c>
      <c r="F17" s="411"/>
      <c r="G17" s="412"/>
      <c r="H17" s="127" t="s">
        <v>164</v>
      </c>
      <c r="I17" s="410">
        <f>'installment plan'!I17:K17</f>
        <v>330000</v>
      </c>
      <c r="J17" s="411"/>
      <c r="K17" s="412"/>
      <c r="L17" s="127" t="s">
        <v>164</v>
      </c>
      <c r="M17" s="440">
        <f>I17/2</f>
        <v>165000</v>
      </c>
      <c r="N17" s="440"/>
      <c r="O17" s="446"/>
      <c r="P17" s="539"/>
      <c r="Q17" s="544"/>
      <c r="R17" s="544"/>
      <c r="S17" s="545"/>
    </row>
    <row r="18" spans="1:19" ht="20.25" customHeight="1">
      <c r="A18" s="126"/>
      <c r="B18" s="391" t="s">
        <v>167</v>
      </c>
      <c r="C18" s="392"/>
      <c r="D18" s="128" t="s">
        <v>164</v>
      </c>
      <c r="E18" s="393">
        <f>'installment plan'!E18:G18*2</f>
        <v>60000</v>
      </c>
      <c r="F18" s="394"/>
      <c r="G18" s="395"/>
      <c r="H18" s="128" t="s">
        <v>164</v>
      </c>
      <c r="I18" s="393">
        <f>'installment plan'!I18:K18</f>
        <v>30000</v>
      </c>
      <c r="J18" s="394"/>
      <c r="K18" s="414"/>
      <c r="L18" s="128" t="s">
        <v>164</v>
      </c>
      <c r="M18" s="440">
        <f>I18/2</f>
        <v>15000</v>
      </c>
      <c r="N18" s="440"/>
      <c r="O18" s="446"/>
      <c r="P18" s="539"/>
      <c r="Q18" s="544"/>
      <c r="R18" s="544"/>
      <c r="S18" s="545"/>
    </row>
    <row r="19" spans="1:19" ht="20.25" customHeight="1">
      <c r="A19" s="126"/>
      <c r="B19" s="415" t="s">
        <v>168</v>
      </c>
      <c r="C19" s="416"/>
      <c r="D19" s="129" t="s">
        <v>164</v>
      </c>
      <c r="E19" s="512">
        <f>(E15+E16+E17+E18)*0.1</f>
        <v>80000</v>
      </c>
      <c r="F19" s="513"/>
      <c r="G19" s="416"/>
      <c r="H19" s="129" t="s">
        <v>164</v>
      </c>
      <c r="I19" s="417">
        <f>(I17+I18)*0.1</f>
        <v>36000</v>
      </c>
      <c r="J19" s="418"/>
      <c r="K19" s="419"/>
      <c r="L19" s="129" t="s">
        <v>164</v>
      </c>
      <c r="M19" s="417">
        <f>(M17+M18)*0.1</f>
        <v>18000</v>
      </c>
      <c r="N19" s="417"/>
      <c r="O19" s="517"/>
      <c r="P19" s="539"/>
      <c r="Q19" s="544"/>
      <c r="R19" s="544"/>
      <c r="S19" s="545"/>
    </row>
    <row r="20" spans="1:19" ht="18" customHeight="1">
      <c r="A20" s="126"/>
      <c r="B20" s="447" t="s">
        <v>169</v>
      </c>
      <c r="C20" s="448"/>
      <c r="D20" s="420" t="s">
        <v>164</v>
      </c>
      <c r="E20" s="443">
        <f>SUM(E15:G19)</f>
        <v>880000</v>
      </c>
      <c r="F20" s="444"/>
      <c r="G20" s="445"/>
      <c r="H20" s="420" t="s">
        <v>164</v>
      </c>
      <c r="I20" s="443">
        <f>SUM(I15:K19)</f>
        <v>396000</v>
      </c>
      <c r="J20" s="444"/>
      <c r="K20" s="445"/>
      <c r="L20" s="420" t="s">
        <v>164</v>
      </c>
      <c r="M20" s="443">
        <f>SUM(M15:O19)</f>
        <v>198000</v>
      </c>
      <c r="N20" s="444"/>
      <c r="O20" s="445"/>
      <c r="P20" s="539"/>
      <c r="Q20" s="544"/>
      <c r="R20" s="544"/>
      <c r="S20" s="545"/>
    </row>
    <row r="21" spans="1:19" ht="18" customHeight="1">
      <c r="A21" s="126"/>
      <c r="B21" s="433"/>
      <c r="C21" s="434"/>
      <c r="D21" s="421"/>
      <c r="E21" s="438"/>
      <c r="F21" s="438"/>
      <c r="G21" s="439"/>
      <c r="H21" s="421"/>
      <c r="I21" s="438"/>
      <c r="J21" s="438"/>
      <c r="K21" s="439"/>
      <c r="L21" s="421"/>
      <c r="M21" s="438"/>
      <c r="N21" s="438"/>
      <c r="O21" s="439"/>
      <c r="P21" s="540"/>
      <c r="Q21" s="546"/>
      <c r="R21" s="546"/>
      <c r="S21" s="547"/>
    </row>
    <row r="22" spans="1:19" ht="16.5" customHeight="1">
      <c r="A22" s="126"/>
    </row>
    <row r="23" spans="1:19" ht="20.25" customHeight="1">
      <c r="A23" s="126" t="s">
        <v>172</v>
      </c>
    </row>
    <row r="24" spans="1:19" ht="33" customHeight="1">
      <c r="A24" s="126"/>
      <c r="B24" s="397"/>
      <c r="C24" s="398"/>
      <c r="D24" s="399" t="s">
        <v>200</v>
      </c>
      <c r="E24" s="400"/>
      <c r="F24" s="400"/>
      <c r="G24" s="401"/>
      <c r="H24" s="405" t="s">
        <v>206</v>
      </c>
      <c r="I24" s="406"/>
      <c r="J24" s="406"/>
      <c r="K24" s="407"/>
      <c r="L24" s="506" t="s">
        <v>162</v>
      </c>
      <c r="M24" s="507"/>
      <c r="N24" s="507"/>
      <c r="O24" s="508"/>
    </row>
    <row r="25" spans="1:19" ht="20.25" customHeight="1">
      <c r="A25" s="126"/>
      <c r="B25" s="408" t="s">
        <v>163</v>
      </c>
      <c r="C25" s="409"/>
      <c r="D25" s="127" t="s">
        <v>164</v>
      </c>
      <c r="E25" s="410">
        <v>50000</v>
      </c>
      <c r="F25" s="411"/>
      <c r="G25" s="412"/>
      <c r="H25" s="509"/>
      <c r="I25" s="510"/>
      <c r="J25" s="510"/>
      <c r="K25" s="511"/>
      <c r="L25" s="538" t="s">
        <v>203</v>
      </c>
      <c r="M25" s="541">
        <f>SUM(A30,E30,I30)</f>
        <v>1276000</v>
      </c>
      <c r="N25" s="542"/>
      <c r="O25" s="543"/>
    </row>
    <row r="26" spans="1:19" ht="20.25" customHeight="1">
      <c r="A26" s="126"/>
      <c r="B26" s="408" t="s">
        <v>165</v>
      </c>
      <c r="C26" s="409"/>
      <c r="D26" s="127" t="s">
        <v>164</v>
      </c>
      <c r="E26" s="410">
        <v>30000</v>
      </c>
      <c r="F26" s="411"/>
      <c r="G26" s="412"/>
      <c r="H26" s="514"/>
      <c r="I26" s="515"/>
      <c r="J26" s="515"/>
      <c r="K26" s="516"/>
      <c r="L26" s="539"/>
      <c r="M26" s="544"/>
      <c r="N26" s="544"/>
      <c r="O26" s="545"/>
    </row>
    <row r="27" spans="1:19" ht="20.25" customHeight="1">
      <c r="A27" s="126"/>
      <c r="B27" s="408" t="s">
        <v>166</v>
      </c>
      <c r="C27" s="409"/>
      <c r="D27" s="127" t="s">
        <v>164</v>
      </c>
      <c r="E27" s="410">
        <f>'installment plan'!E27:G27*2</f>
        <v>660000</v>
      </c>
      <c r="F27" s="411"/>
      <c r="G27" s="412"/>
      <c r="H27" s="127" t="s">
        <v>164</v>
      </c>
      <c r="I27" s="410">
        <f>'installment plan'!I27:K27</f>
        <v>330000</v>
      </c>
      <c r="J27" s="411"/>
      <c r="K27" s="412"/>
      <c r="L27" s="539"/>
      <c r="M27" s="544"/>
      <c r="N27" s="544"/>
      <c r="O27" s="545"/>
    </row>
    <row r="28" spans="1:19" ht="20.25" customHeight="1">
      <c r="A28" s="126"/>
      <c r="B28" s="391" t="s">
        <v>167</v>
      </c>
      <c r="C28" s="392"/>
      <c r="D28" s="128" t="s">
        <v>164</v>
      </c>
      <c r="E28" s="393">
        <f>'installment plan'!E28:G28*2</f>
        <v>60000</v>
      </c>
      <c r="F28" s="394"/>
      <c r="G28" s="395"/>
      <c r="H28" s="128" t="s">
        <v>164</v>
      </c>
      <c r="I28" s="393">
        <f>'installment plan'!I28:K28</f>
        <v>30000</v>
      </c>
      <c r="J28" s="394"/>
      <c r="K28" s="414"/>
      <c r="L28" s="539"/>
      <c r="M28" s="544"/>
      <c r="N28" s="544"/>
      <c r="O28" s="545"/>
    </row>
    <row r="29" spans="1:19" ht="20.25" customHeight="1">
      <c r="A29" s="126"/>
      <c r="B29" s="415" t="s">
        <v>168</v>
      </c>
      <c r="C29" s="416"/>
      <c r="D29" s="129" t="s">
        <v>164</v>
      </c>
      <c r="E29" s="512">
        <f>(E25+E26+E27+E28)*0.1</f>
        <v>80000</v>
      </c>
      <c r="F29" s="513"/>
      <c r="G29" s="416"/>
      <c r="H29" s="129" t="s">
        <v>164</v>
      </c>
      <c r="I29" s="417">
        <f>(I27+I28)*0.1</f>
        <v>36000</v>
      </c>
      <c r="J29" s="418"/>
      <c r="K29" s="419"/>
      <c r="L29" s="539"/>
      <c r="M29" s="544"/>
      <c r="N29" s="544"/>
      <c r="O29" s="545"/>
    </row>
    <row r="30" spans="1:19" ht="18" customHeight="1">
      <c r="A30" s="126"/>
      <c r="B30" s="447" t="s">
        <v>169</v>
      </c>
      <c r="C30" s="448"/>
      <c r="D30" s="420" t="s">
        <v>164</v>
      </c>
      <c r="E30" s="443">
        <f>SUM(E25:G29)</f>
        <v>880000</v>
      </c>
      <c r="F30" s="444"/>
      <c r="G30" s="445"/>
      <c r="H30" s="420" t="s">
        <v>164</v>
      </c>
      <c r="I30" s="443">
        <f>SUM(I25:K29)</f>
        <v>396000</v>
      </c>
      <c r="J30" s="444"/>
      <c r="K30" s="445"/>
      <c r="L30" s="539"/>
      <c r="M30" s="544"/>
      <c r="N30" s="544"/>
      <c r="O30" s="545"/>
    </row>
    <row r="31" spans="1:19" ht="18" customHeight="1">
      <c r="A31" s="126"/>
      <c r="B31" s="433"/>
      <c r="C31" s="434"/>
      <c r="D31" s="421"/>
      <c r="E31" s="438"/>
      <c r="F31" s="438"/>
      <c r="G31" s="439"/>
      <c r="H31" s="421"/>
      <c r="I31" s="438"/>
      <c r="J31" s="438"/>
      <c r="K31" s="439"/>
      <c r="L31" s="540"/>
      <c r="M31" s="546"/>
      <c r="N31" s="546"/>
      <c r="O31" s="547"/>
    </row>
    <row r="32" spans="1:19" ht="16.5" customHeight="1">
      <c r="A32" s="126"/>
    </row>
    <row r="33" spans="1:19" ht="20.25" customHeight="1">
      <c r="A33" s="126" t="s">
        <v>174</v>
      </c>
    </row>
    <row r="34" spans="1:19" ht="28.5" customHeight="1">
      <c r="A34" s="126"/>
      <c r="B34" s="397"/>
      <c r="C34" s="398"/>
      <c r="D34" s="399" t="s">
        <v>200</v>
      </c>
      <c r="E34" s="400"/>
      <c r="F34" s="400"/>
      <c r="G34" s="401"/>
      <c r="H34" s="405" t="s">
        <v>207</v>
      </c>
      <c r="I34" s="406"/>
      <c r="J34" s="406"/>
      <c r="K34" s="407"/>
      <c r="L34" s="506" t="s">
        <v>162</v>
      </c>
      <c r="M34" s="507"/>
      <c r="N34" s="507"/>
      <c r="O34" s="508"/>
    </row>
    <row r="35" spans="1:19" ht="20.25" customHeight="1">
      <c r="A35" s="126"/>
      <c r="B35" s="408" t="s">
        <v>163</v>
      </c>
      <c r="C35" s="409"/>
      <c r="D35" s="127" t="s">
        <v>164</v>
      </c>
      <c r="E35" s="410">
        <v>50000</v>
      </c>
      <c r="F35" s="411"/>
      <c r="G35" s="412"/>
      <c r="H35" s="509"/>
      <c r="I35" s="510"/>
      <c r="J35" s="510"/>
      <c r="K35" s="511"/>
      <c r="L35" s="538" t="s">
        <v>203</v>
      </c>
      <c r="M35" s="541">
        <f>SUM(A40,E40,I40)</f>
        <v>1078000</v>
      </c>
      <c r="N35" s="542"/>
      <c r="O35" s="543"/>
    </row>
    <row r="36" spans="1:19" ht="20.25" customHeight="1">
      <c r="A36" s="126"/>
      <c r="B36" s="408" t="s">
        <v>165</v>
      </c>
      <c r="C36" s="409"/>
      <c r="D36" s="127" t="s">
        <v>164</v>
      </c>
      <c r="E36" s="410">
        <v>30000</v>
      </c>
      <c r="F36" s="411"/>
      <c r="G36" s="412"/>
      <c r="H36" s="514"/>
      <c r="I36" s="515"/>
      <c r="J36" s="515"/>
      <c r="K36" s="516"/>
      <c r="L36" s="539"/>
      <c r="M36" s="544"/>
      <c r="N36" s="544"/>
      <c r="O36" s="545"/>
    </row>
    <row r="37" spans="1:19" ht="20.25" customHeight="1">
      <c r="A37" s="126"/>
      <c r="B37" s="408" t="s">
        <v>166</v>
      </c>
      <c r="C37" s="409"/>
      <c r="D37" s="127" t="s">
        <v>164</v>
      </c>
      <c r="E37" s="410">
        <f>'installment plan'!E37:G37*2</f>
        <v>660000</v>
      </c>
      <c r="F37" s="411"/>
      <c r="G37" s="412"/>
      <c r="H37" s="127" t="s">
        <v>164</v>
      </c>
      <c r="I37" s="440">
        <f>E37/4</f>
        <v>165000</v>
      </c>
      <c r="J37" s="440"/>
      <c r="K37" s="446"/>
      <c r="L37" s="539"/>
      <c r="M37" s="544"/>
      <c r="N37" s="544"/>
      <c r="O37" s="545"/>
    </row>
    <row r="38" spans="1:19" ht="20.25" customHeight="1">
      <c r="A38" s="126"/>
      <c r="B38" s="391" t="s">
        <v>167</v>
      </c>
      <c r="C38" s="392"/>
      <c r="D38" s="128" t="s">
        <v>164</v>
      </c>
      <c r="E38" s="393">
        <f>'installment plan'!E38:G38*2</f>
        <v>60000</v>
      </c>
      <c r="F38" s="394"/>
      <c r="G38" s="395"/>
      <c r="H38" s="128" t="s">
        <v>164</v>
      </c>
      <c r="I38" s="440">
        <f>E38/4</f>
        <v>15000</v>
      </c>
      <c r="J38" s="440"/>
      <c r="K38" s="446"/>
      <c r="L38" s="539"/>
      <c r="M38" s="544"/>
      <c r="N38" s="544"/>
      <c r="O38" s="545"/>
    </row>
    <row r="39" spans="1:19" ht="20.25" customHeight="1">
      <c r="A39" s="126"/>
      <c r="B39" s="415" t="s">
        <v>168</v>
      </c>
      <c r="C39" s="416"/>
      <c r="D39" s="129" t="s">
        <v>164</v>
      </c>
      <c r="E39" s="512">
        <f>(E35+E36+E37+E38)*0.1</f>
        <v>80000</v>
      </c>
      <c r="F39" s="513"/>
      <c r="G39" s="416"/>
      <c r="H39" s="129" t="s">
        <v>164</v>
      </c>
      <c r="I39" s="417">
        <f>(I37+I38)*0.1</f>
        <v>18000</v>
      </c>
      <c r="J39" s="417"/>
      <c r="K39" s="517"/>
      <c r="L39" s="539"/>
      <c r="M39" s="544"/>
      <c r="N39" s="544"/>
      <c r="O39" s="545"/>
    </row>
    <row r="40" spans="1:19" ht="18" customHeight="1">
      <c r="A40" s="126"/>
      <c r="B40" s="447" t="s">
        <v>169</v>
      </c>
      <c r="C40" s="448"/>
      <c r="D40" s="420" t="s">
        <v>164</v>
      </c>
      <c r="E40" s="443">
        <f>SUM(E35:G39)</f>
        <v>880000</v>
      </c>
      <c r="F40" s="444"/>
      <c r="G40" s="445"/>
      <c r="H40" s="420" t="s">
        <v>164</v>
      </c>
      <c r="I40" s="443">
        <f>SUM(I35:K39)</f>
        <v>198000</v>
      </c>
      <c r="J40" s="444"/>
      <c r="K40" s="445"/>
      <c r="L40" s="539"/>
      <c r="M40" s="544"/>
      <c r="N40" s="544"/>
      <c r="O40" s="545"/>
    </row>
    <row r="41" spans="1:19" ht="18" customHeight="1">
      <c r="A41" s="126"/>
      <c r="B41" s="433"/>
      <c r="C41" s="434"/>
      <c r="D41" s="421"/>
      <c r="E41" s="438"/>
      <c r="F41" s="438"/>
      <c r="G41" s="439"/>
      <c r="H41" s="421"/>
      <c r="I41" s="438"/>
      <c r="J41" s="438"/>
      <c r="K41" s="439"/>
      <c r="L41" s="540"/>
      <c r="M41" s="546"/>
      <c r="N41" s="546"/>
      <c r="O41" s="547"/>
    </row>
    <row r="42" spans="1:19" ht="18" customHeight="1">
      <c r="A42" s="126"/>
      <c r="B42" s="131"/>
      <c r="C42" s="132"/>
      <c r="D42" s="133"/>
      <c r="E42" s="130"/>
      <c r="F42" s="130"/>
      <c r="G42" s="130"/>
      <c r="H42" s="133"/>
      <c r="I42" s="536" t="s">
        <v>176</v>
      </c>
      <c r="J42" s="537"/>
      <c r="K42" s="537"/>
      <c r="L42" s="537"/>
      <c r="M42" s="537"/>
      <c r="N42" s="537"/>
      <c r="O42" s="537"/>
      <c r="P42" s="537"/>
      <c r="Q42" s="537"/>
      <c r="R42" s="537"/>
      <c r="S42" s="537"/>
    </row>
    <row r="43" spans="1:19" ht="18.75" customHeight="1">
      <c r="I43" s="536"/>
      <c r="J43" s="537"/>
      <c r="K43" s="537"/>
      <c r="L43" s="537"/>
      <c r="M43" s="537"/>
      <c r="N43" s="537"/>
      <c r="O43" s="537"/>
      <c r="P43" s="537"/>
      <c r="Q43" s="537"/>
      <c r="R43" s="537"/>
      <c r="S43" s="537"/>
    </row>
    <row r="44" spans="1:19" ht="18.75" customHeight="1">
      <c r="I44" s="139"/>
    </row>
    <row r="45" spans="1:19" ht="18.75" customHeight="1">
      <c r="I45" s="139"/>
      <c r="Q45" s="250" t="s">
        <v>158</v>
      </c>
      <c r="R45" s="250"/>
      <c r="S45" s="250"/>
    </row>
    <row r="46" spans="1:19">
      <c r="A46" s="492" t="s">
        <v>177</v>
      </c>
      <c r="B46" s="492"/>
      <c r="C46" s="492"/>
      <c r="D46" s="492"/>
      <c r="E46" s="492"/>
      <c r="F46" s="492"/>
      <c r="G46" s="492"/>
      <c r="H46" s="492"/>
      <c r="I46" s="492"/>
      <c r="J46" s="492"/>
      <c r="K46" s="492"/>
      <c r="L46" s="492"/>
      <c r="M46" s="492"/>
      <c r="N46" s="492"/>
      <c r="O46" s="492"/>
    </row>
    <row r="47" spans="1:19" s="123" customFormat="1" ht="18">
      <c r="A47" s="492"/>
      <c r="B47" s="492"/>
      <c r="C47" s="492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2"/>
    </row>
    <row r="48" spans="1:19" s="123" customFormat="1" ht="18"/>
    <row r="49" spans="2:19" s="123" customFormat="1" ht="43.5" customHeight="1">
      <c r="B49" s="134" t="s">
        <v>208</v>
      </c>
      <c r="C49" s="135"/>
      <c r="D49" s="493" t="s">
        <v>179</v>
      </c>
      <c r="E49" s="518"/>
      <c r="F49" s="518"/>
      <c r="G49" s="519"/>
      <c r="H49" s="136"/>
      <c r="I49" s="136"/>
      <c r="J49" s="136"/>
      <c r="K49" s="136"/>
      <c r="L49" s="136"/>
      <c r="M49" s="136"/>
      <c r="N49" s="136"/>
      <c r="O49" s="140"/>
    </row>
    <row r="50" spans="2:19" s="123" customFormat="1" ht="43.5" customHeight="1">
      <c r="B50" s="496" t="s">
        <v>180</v>
      </c>
      <c r="C50" s="520"/>
      <c r="D50" s="498" t="s">
        <v>181</v>
      </c>
      <c r="E50" s="521"/>
      <c r="F50" s="521"/>
      <c r="G50" s="522"/>
      <c r="H50" s="136"/>
      <c r="I50" s="136"/>
      <c r="J50" s="136"/>
      <c r="K50" s="136"/>
      <c r="L50" s="136"/>
      <c r="M50" s="136"/>
      <c r="N50" s="136"/>
      <c r="O50" s="140"/>
    </row>
    <row r="51" spans="2:19" s="123" customFormat="1" ht="43.5" customHeight="1">
      <c r="B51" s="476" t="s">
        <v>182</v>
      </c>
      <c r="C51" s="477"/>
      <c r="D51" s="480" t="s">
        <v>183</v>
      </c>
      <c r="E51" s="481"/>
      <c r="F51" s="481"/>
      <c r="G51" s="482"/>
      <c r="H51" s="459" t="s">
        <v>184</v>
      </c>
      <c r="I51" s="459"/>
      <c r="J51" s="459"/>
      <c r="K51" s="459"/>
      <c r="L51" s="136"/>
      <c r="M51" s="136"/>
      <c r="N51" s="136"/>
      <c r="O51" s="140"/>
    </row>
    <row r="52" spans="2:19" s="123" customFormat="1" ht="43.5" customHeight="1">
      <c r="B52" s="478"/>
      <c r="C52" s="479"/>
      <c r="D52" s="528"/>
      <c r="E52" s="529"/>
      <c r="F52" s="529"/>
      <c r="G52" s="530"/>
      <c r="H52" s="531"/>
      <c r="I52" s="531"/>
      <c r="J52" s="531"/>
      <c r="K52" s="531"/>
      <c r="O52" s="141"/>
    </row>
    <row r="53" spans="2:19" s="123" customFormat="1" ht="43.5" customHeight="1">
      <c r="B53" s="449" t="s">
        <v>185</v>
      </c>
      <c r="C53" s="450"/>
      <c r="D53" s="451" t="s">
        <v>186</v>
      </c>
      <c r="E53" s="452"/>
      <c r="F53" s="452"/>
      <c r="G53" s="453"/>
      <c r="H53" s="138"/>
      <c r="I53" s="138"/>
      <c r="J53" s="138"/>
      <c r="K53" s="138"/>
      <c r="L53" s="142"/>
      <c r="M53" s="142"/>
      <c r="N53" s="142"/>
      <c r="O53" s="143"/>
    </row>
    <row r="54" spans="2:19" s="123" customFormat="1" ht="74.25" customHeight="1">
      <c r="B54" s="454" t="s">
        <v>187</v>
      </c>
      <c r="C54" s="455"/>
      <c r="D54" s="456" t="s">
        <v>188</v>
      </c>
      <c r="E54" s="457"/>
      <c r="F54" s="457"/>
      <c r="G54" s="457"/>
      <c r="H54" s="523"/>
      <c r="I54" s="523"/>
      <c r="J54" s="523"/>
      <c r="K54" s="523"/>
      <c r="L54" s="523"/>
      <c r="M54" s="523"/>
      <c r="N54" s="523"/>
      <c r="O54" s="524"/>
    </row>
    <row r="55" spans="2:19" s="123" customFormat="1" ht="43.5" customHeight="1">
      <c r="B55" s="465" t="s">
        <v>189</v>
      </c>
      <c r="C55" s="466"/>
      <c r="D55" s="548" t="s">
        <v>190</v>
      </c>
      <c r="E55" s="549"/>
      <c r="F55" s="549"/>
      <c r="G55" s="550"/>
      <c r="H55" s="525" t="s">
        <v>191</v>
      </c>
      <c r="I55" s="477"/>
      <c r="J55" s="477"/>
      <c r="K55" s="526"/>
      <c r="L55" s="135" t="s">
        <v>192</v>
      </c>
      <c r="M55" s="135"/>
      <c r="N55" s="135"/>
      <c r="O55" s="144"/>
    </row>
    <row r="56" spans="2:19" s="123" customFormat="1" ht="43.5" customHeight="1">
      <c r="B56" s="465"/>
      <c r="C56" s="466"/>
      <c r="D56" s="548"/>
      <c r="E56" s="549"/>
      <c r="F56" s="549"/>
      <c r="G56" s="550"/>
      <c r="H56" s="527" t="s">
        <v>193</v>
      </c>
      <c r="I56" s="241"/>
      <c r="J56" s="241"/>
      <c r="K56" s="242"/>
      <c r="L56" s="135" t="s">
        <v>194</v>
      </c>
      <c r="M56" s="135"/>
      <c r="N56" s="135"/>
      <c r="O56" s="144"/>
    </row>
    <row r="57" spans="2:19" s="123" customFormat="1" ht="43.5" customHeight="1">
      <c r="B57" s="465"/>
      <c r="C57" s="466"/>
      <c r="D57" s="548"/>
      <c r="E57" s="549"/>
      <c r="F57" s="549"/>
      <c r="G57" s="550"/>
      <c r="H57" s="532" t="s">
        <v>195</v>
      </c>
      <c r="I57" s="532"/>
      <c r="J57" s="532"/>
      <c r="K57" s="533"/>
      <c r="L57" s="135" t="s">
        <v>196</v>
      </c>
      <c r="M57" s="135"/>
      <c r="N57" s="135"/>
      <c r="O57" s="146"/>
    </row>
    <row r="58" spans="2:19" s="123" customFormat="1" ht="72" customHeight="1">
      <c r="B58" s="454" t="s">
        <v>197</v>
      </c>
      <c r="C58" s="455"/>
      <c r="D58" s="456" t="s">
        <v>198</v>
      </c>
      <c r="E58" s="457"/>
      <c r="F58" s="457"/>
      <c r="G58" s="457"/>
      <c r="H58" s="457"/>
      <c r="I58" s="457"/>
      <c r="J58" s="457"/>
      <c r="K58" s="457"/>
      <c r="L58" s="457"/>
      <c r="M58" s="457"/>
      <c r="N58" s="457"/>
      <c r="O58" s="458"/>
    </row>
    <row r="60" spans="2:19" ht="45.75" customHeight="1">
      <c r="B60" s="461" t="s">
        <v>199</v>
      </c>
      <c r="C60" s="534"/>
      <c r="D60" s="534"/>
      <c r="E60" s="534"/>
      <c r="F60" s="534"/>
      <c r="G60" s="534"/>
      <c r="H60" s="534"/>
      <c r="I60" s="534"/>
      <c r="J60" s="534"/>
      <c r="K60" s="534"/>
      <c r="L60" s="534"/>
      <c r="M60" s="534"/>
      <c r="N60" s="534"/>
      <c r="O60" s="534"/>
      <c r="P60" s="534"/>
      <c r="Q60" s="534"/>
      <c r="R60" s="534"/>
      <c r="S60" s="535"/>
    </row>
    <row r="62" spans="2:19" ht="15.75">
      <c r="I62" s="536" t="s">
        <v>176</v>
      </c>
      <c r="J62" s="537"/>
      <c r="K62" s="537"/>
      <c r="L62" s="537"/>
      <c r="M62" s="537"/>
      <c r="N62" s="537"/>
      <c r="O62" s="537"/>
      <c r="P62" s="537"/>
      <c r="Q62" s="537"/>
      <c r="R62" s="537"/>
      <c r="S62" s="537"/>
    </row>
  </sheetData>
  <mergeCells count="145">
    <mergeCell ref="A46:O47"/>
    <mergeCell ref="B40:C41"/>
    <mergeCell ref="E40:G41"/>
    <mergeCell ref="I40:K41"/>
    <mergeCell ref="M35:O41"/>
    <mergeCell ref="B30:C31"/>
    <mergeCell ref="E30:G31"/>
    <mergeCell ref="I30:K31"/>
    <mergeCell ref="M25:O31"/>
    <mergeCell ref="B38:C38"/>
    <mergeCell ref="E38:G38"/>
    <mergeCell ref="I38:K38"/>
    <mergeCell ref="B39:C39"/>
    <mergeCell ref="E39:G39"/>
    <mergeCell ref="I39:K39"/>
    <mergeCell ref="I42:S42"/>
    <mergeCell ref="I43:S43"/>
    <mergeCell ref="Q45:S45"/>
    <mergeCell ref="L34:O34"/>
    <mergeCell ref="B35:C35"/>
    <mergeCell ref="E35:G35"/>
    <mergeCell ref="H35:K35"/>
    <mergeCell ref="B36:C36"/>
    <mergeCell ref="E36:G36"/>
    <mergeCell ref="H57:K57"/>
    <mergeCell ref="B58:C58"/>
    <mergeCell ref="D58:O58"/>
    <mergeCell ref="B60:S60"/>
    <mergeCell ref="I62:S62"/>
    <mergeCell ref="D10:D11"/>
    <mergeCell ref="D20:D21"/>
    <mergeCell ref="D30:D31"/>
    <mergeCell ref="D40:D41"/>
    <mergeCell ref="H10:H11"/>
    <mergeCell ref="H20:H21"/>
    <mergeCell ref="H30:H31"/>
    <mergeCell ref="H40:H41"/>
    <mergeCell ref="L10:L11"/>
    <mergeCell ref="L20:L21"/>
    <mergeCell ref="L25:L31"/>
    <mergeCell ref="L35:L41"/>
    <mergeCell ref="P5:P11"/>
    <mergeCell ref="P15:P21"/>
    <mergeCell ref="Q5:S11"/>
    <mergeCell ref="Q15:S21"/>
    <mergeCell ref="B55:C57"/>
    <mergeCell ref="D55:G57"/>
    <mergeCell ref="B51:C52"/>
    <mergeCell ref="D49:G49"/>
    <mergeCell ref="B50:C50"/>
    <mergeCell ref="D50:G50"/>
    <mergeCell ref="B53:C53"/>
    <mergeCell ref="D53:G53"/>
    <mergeCell ref="B54:C54"/>
    <mergeCell ref="D54:O54"/>
    <mergeCell ref="H55:K55"/>
    <mergeCell ref="H56:K56"/>
    <mergeCell ref="D51:G52"/>
    <mergeCell ref="H51:K52"/>
    <mergeCell ref="H36:K36"/>
    <mergeCell ref="B37:C37"/>
    <mergeCell ref="E37:G37"/>
    <mergeCell ref="I37:K37"/>
    <mergeCell ref="B28:C28"/>
    <mergeCell ref="E28:G28"/>
    <mergeCell ref="I28:K28"/>
    <mergeCell ref="B29:C29"/>
    <mergeCell ref="E29:G29"/>
    <mergeCell ref="I29:K29"/>
    <mergeCell ref="B34:C34"/>
    <mergeCell ref="D34:G34"/>
    <mergeCell ref="H34:K34"/>
    <mergeCell ref="B25:C25"/>
    <mergeCell ref="E25:G25"/>
    <mergeCell ref="H25:K25"/>
    <mergeCell ref="B26:C26"/>
    <mergeCell ref="E26:G26"/>
    <mergeCell ref="H26:K26"/>
    <mergeCell ref="B27:C27"/>
    <mergeCell ref="E27:G27"/>
    <mergeCell ref="I27:K27"/>
    <mergeCell ref="B18:C18"/>
    <mergeCell ref="E18:G18"/>
    <mergeCell ref="I18:K18"/>
    <mergeCell ref="M18:O18"/>
    <mergeCell ref="B19:C19"/>
    <mergeCell ref="E19:G19"/>
    <mergeCell ref="I19:K19"/>
    <mergeCell ref="M19:O19"/>
    <mergeCell ref="B24:C24"/>
    <mergeCell ref="D24:G24"/>
    <mergeCell ref="H24:K24"/>
    <mergeCell ref="L24:O24"/>
    <mergeCell ref="M20:O21"/>
    <mergeCell ref="B20:C21"/>
    <mergeCell ref="E20:G21"/>
    <mergeCell ref="I20:K21"/>
    <mergeCell ref="B15:C15"/>
    <mergeCell ref="E15:G15"/>
    <mergeCell ref="H15:K15"/>
    <mergeCell ref="L15:O15"/>
    <mergeCell ref="B16:C16"/>
    <mergeCell ref="E16:G16"/>
    <mergeCell ref="H16:K16"/>
    <mergeCell ref="L16:O16"/>
    <mergeCell ref="B17:C17"/>
    <mergeCell ref="E17:G17"/>
    <mergeCell ref="I17:K17"/>
    <mergeCell ref="M17:O17"/>
    <mergeCell ref="B9:C9"/>
    <mergeCell ref="E9:G9"/>
    <mergeCell ref="I9:K9"/>
    <mergeCell ref="M9:O9"/>
    <mergeCell ref="B14:C14"/>
    <mergeCell ref="D14:G14"/>
    <mergeCell ref="H14:K14"/>
    <mergeCell ref="L14:O14"/>
    <mergeCell ref="P14:S14"/>
    <mergeCell ref="M10:O11"/>
    <mergeCell ref="B10:C11"/>
    <mergeCell ref="E10:G11"/>
    <mergeCell ref="I10:K11"/>
    <mergeCell ref="B6:C6"/>
    <mergeCell ref="E6:G6"/>
    <mergeCell ref="H6:K6"/>
    <mergeCell ref="L6:O6"/>
    <mergeCell ref="B7:C7"/>
    <mergeCell ref="E7:G7"/>
    <mergeCell ref="I7:K7"/>
    <mergeCell ref="M7:O7"/>
    <mergeCell ref="B8:C8"/>
    <mergeCell ref="E8:G8"/>
    <mergeCell ref="I8:K8"/>
    <mergeCell ref="M8:O8"/>
    <mergeCell ref="A1:S1"/>
    <mergeCell ref="Q2:S2"/>
    <mergeCell ref="B4:C4"/>
    <mergeCell ref="D4:G4"/>
    <mergeCell ref="H4:K4"/>
    <mergeCell ref="L4:O4"/>
    <mergeCell ref="P4:S4"/>
    <mergeCell ref="B5:C5"/>
    <mergeCell ref="E5:G5"/>
    <mergeCell ref="H5:K5"/>
    <mergeCell ref="L5:O5"/>
  </mergeCells>
  <pageMargins left="0.74791666666666701" right="0.74791666666666701" top="0.39305555555555599" bottom="0.39305555555555599" header="0.51111111111111096" footer="0.51111111111111096"/>
  <pageSetup paperSize="9" orientation="portrait" verticalDpi="36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workbookViewId="0">
      <selection activeCell="A5" sqref="A5:S11"/>
    </sheetView>
  </sheetViews>
  <sheetFormatPr defaultColWidth="9" defaultRowHeight="14.25"/>
  <cols>
    <col min="1" max="1" width="3.625" style="124" customWidth="1"/>
    <col min="2" max="3" width="10" style="124" customWidth="1"/>
    <col min="4" max="4" width="3.125" style="124" customWidth="1"/>
    <col min="5" max="7" width="4.125" style="124" customWidth="1"/>
    <col min="8" max="8" width="3.125" style="124" customWidth="1"/>
    <col min="9" max="11" width="4.125" style="124" customWidth="1"/>
    <col min="12" max="12" width="3.125" style="124" customWidth="1"/>
    <col min="13" max="15" width="4.125" style="124" customWidth="1"/>
    <col min="16" max="16" width="3.125" style="124" customWidth="1"/>
    <col min="17" max="19" width="4.125" style="124" customWidth="1"/>
    <col min="20" max="53" width="3.625" style="124" customWidth="1"/>
    <col min="54" max="16384" width="9" style="124"/>
  </cols>
  <sheetData>
    <row r="1" spans="1:19" ht="20.25" customHeight="1">
      <c r="A1" s="396" t="s">
        <v>156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6"/>
      <c r="S1" s="396"/>
    </row>
    <row r="2" spans="1:19" ht="1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502" t="s">
        <v>158</v>
      </c>
      <c r="R2" s="250"/>
      <c r="S2" s="250"/>
    </row>
    <row r="3" spans="1:19" ht="20.25" customHeight="1">
      <c r="A3" s="126" t="s">
        <v>157</v>
      </c>
    </row>
    <row r="4" spans="1:19" ht="33" customHeight="1">
      <c r="A4" s="126"/>
      <c r="B4" s="397"/>
      <c r="C4" s="398"/>
      <c r="D4" s="399" t="s">
        <v>200</v>
      </c>
      <c r="E4" s="400"/>
      <c r="F4" s="400"/>
      <c r="G4" s="401"/>
      <c r="H4" s="405" t="s">
        <v>209</v>
      </c>
      <c r="I4" s="406"/>
      <c r="J4" s="406"/>
      <c r="K4" s="407"/>
      <c r="L4" s="405" t="s">
        <v>201</v>
      </c>
      <c r="M4" s="406"/>
      <c r="N4" s="406"/>
      <c r="O4" s="407"/>
      <c r="P4" s="503" t="s">
        <v>202</v>
      </c>
      <c r="Q4" s="504"/>
      <c r="R4" s="504"/>
      <c r="S4" s="505"/>
    </row>
    <row r="5" spans="1:19" ht="20.25" customHeight="1">
      <c r="A5" s="126"/>
      <c r="B5" s="408" t="s">
        <v>163</v>
      </c>
      <c r="C5" s="409"/>
      <c r="D5" s="127" t="s">
        <v>164</v>
      </c>
      <c r="E5" s="410">
        <v>50000</v>
      </c>
      <c r="F5" s="411"/>
      <c r="G5" s="412"/>
      <c r="H5" s="509"/>
      <c r="I5" s="510"/>
      <c r="J5" s="510"/>
      <c r="K5" s="511"/>
      <c r="L5" s="509"/>
      <c r="M5" s="510"/>
      <c r="N5" s="510"/>
      <c r="O5" s="511"/>
      <c r="P5" s="509"/>
      <c r="Q5" s="510"/>
      <c r="R5" s="510"/>
      <c r="S5" s="511"/>
    </row>
    <row r="6" spans="1:19" ht="20.25" customHeight="1">
      <c r="A6" s="126"/>
      <c r="B6" s="408" t="s">
        <v>165</v>
      </c>
      <c r="C6" s="409"/>
      <c r="D6" s="127" t="s">
        <v>164</v>
      </c>
      <c r="E6" s="410">
        <v>30000</v>
      </c>
      <c r="F6" s="411"/>
      <c r="G6" s="412"/>
      <c r="H6" s="509"/>
      <c r="I6" s="510"/>
      <c r="J6" s="510"/>
      <c r="K6" s="511"/>
      <c r="L6" s="509"/>
      <c r="M6" s="510"/>
      <c r="N6" s="510"/>
      <c r="O6" s="511"/>
      <c r="P6" s="509"/>
      <c r="Q6" s="510"/>
      <c r="R6" s="510"/>
      <c r="S6" s="511"/>
    </row>
    <row r="7" spans="1:19" ht="20.25" customHeight="1">
      <c r="A7" s="126"/>
      <c r="B7" s="408" t="s">
        <v>166</v>
      </c>
      <c r="C7" s="409"/>
      <c r="D7" s="127" t="s">
        <v>164</v>
      </c>
      <c r="E7" s="410">
        <v>330000</v>
      </c>
      <c r="F7" s="411"/>
      <c r="G7" s="412"/>
      <c r="H7" s="127" t="s">
        <v>164</v>
      </c>
      <c r="I7" s="410">
        <v>330000</v>
      </c>
      <c r="J7" s="411"/>
      <c r="K7" s="412"/>
      <c r="L7" s="127" t="s">
        <v>164</v>
      </c>
      <c r="M7" s="410">
        <v>330000</v>
      </c>
      <c r="N7" s="411"/>
      <c r="O7" s="412"/>
      <c r="P7" s="127" t="s">
        <v>164</v>
      </c>
      <c r="Q7" s="410">
        <v>330000</v>
      </c>
      <c r="R7" s="411"/>
      <c r="S7" s="413"/>
    </row>
    <row r="8" spans="1:19" ht="20.25" customHeight="1">
      <c r="A8" s="126"/>
      <c r="B8" s="391" t="s">
        <v>167</v>
      </c>
      <c r="C8" s="392"/>
      <c r="D8" s="128" t="s">
        <v>164</v>
      </c>
      <c r="E8" s="393">
        <v>30000</v>
      </c>
      <c r="F8" s="394"/>
      <c r="G8" s="395"/>
      <c r="H8" s="128" t="s">
        <v>164</v>
      </c>
      <c r="I8" s="393">
        <v>30000</v>
      </c>
      <c r="J8" s="394"/>
      <c r="K8" s="414"/>
      <c r="L8" s="128" t="s">
        <v>164</v>
      </c>
      <c r="M8" s="393">
        <v>30000</v>
      </c>
      <c r="N8" s="394"/>
      <c r="O8" s="414"/>
      <c r="P8" s="128" t="s">
        <v>164</v>
      </c>
      <c r="Q8" s="393">
        <v>30000</v>
      </c>
      <c r="R8" s="394"/>
      <c r="S8" s="414"/>
    </row>
    <row r="9" spans="1:19" ht="20.25" customHeight="1">
      <c r="A9" s="126"/>
      <c r="B9" s="415" t="s">
        <v>168</v>
      </c>
      <c r="C9" s="416"/>
      <c r="D9" s="129" t="s">
        <v>164</v>
      </c>
      <c r="E9" s="512">
        <f>(E5+E6+E7+E8)*0.1</f>
        <v>44000</v>
      </c>
      <c r="F9" s="513"/>
      <c r="G9" s="416"/>
      <c r="H9" s="129" t="s">
        <v>164</v>
      </c>
      <c r="I9" s="417">
        <f>(I7+I8)*0.1</f>
        <v>36000</v>
      </c>
      <c r="J9" s="418"/>
      <c r="K9" s="419"/>
      <c r="L9" s="129" t="s">
        <v>164</v>
      </c>
      <c r="M9" s="417">
        <f>(M7+M8)*0.1</f>
        <v>36000</v>
      </c>
      <c r="N9" s="418"/>
      <c r="O9" s="419"/>
      <c r="P9" s="129" t="s">
        <v>164</v>
      </c>
      <c r="Q9" s="417">
        <f>(Q7+Q8)*0.1</f>
        <v>36000</v>
      </c>
      <c r="R9" s="418"/>
      <c r="S9" s="419"/>
    </row>
    <row r="10" spans="1:19" ht="18" customHeight="1">
      <c r="A10" s="126"/>
      <c r="B10" s="431" t="s">
        <v>169</v>
      </c>
      <c r="C10" s="432"/>
      <c r="D10" s="420" t="s">
        <v>164</v>
      </c>
      <c r="E10" s="435">
        <f>SUM(E5:G9)</f>
        <v>484000</v>
      </c>
      <c r="F10" s="436"/>
      <c r="G10" s="437"/>
      <c r="H10" s="420" t="s">
        <v>164</v>
      </c>
      <c r="I10" s="435">
        <f>SUM(I5:K9)</f>
        <v>396000</v>
      </c>
      <c r="J10" s="436"/>
      <c r="K10" s="437"/>
      <c r="L10" s="420" t="s">
        <v>164</v>
      </c>
      <c r="M10" s="435">
        <f>SUM(M5:O9)</f>
        <v>396000</v>
      </c>
      <c r="N10" s="436"/>
      <c r="O10" s="437"/>
      <c r="P10" s="420" t="s">
        <v>164</v>
      </c>
      <c r="Q10" s="435">
        <f>SUM(Q5:S9)</f>
        <v>396000</v>
      </c>
      <c r="R10" s="436"/>
      <c r="S10" s="437"/>
    </row>
    <row r="11" spans="1:19" ht="18" customHeight="1">
      <c r="A11" s="126"/>
      <c r="B11" s="433"/>
      <c r="C11" s="434"/>
      <c r="D11" s="421"/>
      <c r="E11" s="438"/>
      <c r="F11" s="438"/>
      <c r="G11" s="439"/>
      <c r="H11" s="421"/>
      <c r="I11" s="438"/>
      <c r="J11" s="438"/>
      <c r="K11" s="439"/>
      <c r="L11" s="421"/>
      <c r="M11" s="438"/>
      <c r="N11" s="438"/>
      <c r="O11" s="439"/>
      <c r="P11" s="421"/>
      <c r="Q11" s="438"/>
      <c r="R11" s="438"/>
      <c r="S11" s="439"/>
    </row>
    <row r="12" spans="1:19" ht="16.5" customHeight="1">
      <c r="A12" s="126"/>
    </row>
    <row r="13" spans="1:19" ht="20.25" customHeight="1">
      <c r="A13" s="126" t="s">
        <v>170</v>
      </c>
    </row>
    <row r="14" spans="1:19" ht="33" customHeight="1">
      <c r="A14" s="126"/>
      <c r="B14" s="397"/>
      <c r="C14" s="398"/>
      <c r="D14" s="399" t="s">
        <v>200</v>
      </c>
      <c r="E14" s="400"/>
      <c r="F14" s="400"/>
      <c r="G14" s="401"/>
      <c r="H14" s="405" t="s">
        <v>207</v>
      </c>
      <c r="I14" s="406"/>
      <c r="J14" s="406"/>
      <c r="K14" s="407"/>
      <c r="L14" s="405" t="s">
        <v>204</v>
      </c>
      <c r="M14" s="406"/>
      <c r="N14" s="406"/>
      <c r="O14" s="407"/>
      <c r="P14" s="503" t="s">
        <v>205</v>
      </c>
      <c r="Q14" s="504"/>
      <c r="R14" s="504"/>
      <c r="S14" s="505"/>
    </row>
    <row r="15" spans="1:19" ht="20.25" customHeight="1">
      <c r="A15" s="126"/>
      <c r="B15" s="408" t="s">
        <v>163</v>
      </c>
      <c r="C15" s="409"/>
      <c r="D15" s="127" t="s">
        <v>164</v>
      </c>
      <c r="E15" s="410">
        <v>50000</v>
      </c>
      <c r="F15" s="411"/>
      <c r="G15" s="412"/>
      <c r="H15" s="509"/>
      <c r="I15" s="510"/>
      <c r="J15" s="510"/>
      <c r="K15" s="511"/>
      <c r="L15" s="509"/>
      <c r="M15" s="510"/>
      <c r="N15" s="510"/>
      <c r="O15" s="511"/>
      <c r="P15" s="509"/>
      <c r="Q15" s="510"/>
      <c r="R15" s="510"/>
      <c r="S15" s="511"/>
    </row>
    <row r="16" spans="1:19" ht="20.25" customHeight="1">
      <c r="A16" s="126"/>
      <c r="B16" s="408" t="s">
        <v>165</v>
      </c>
      <c r="C16" s="409"/>
      <c r="D16" s="127" t="s">
        <v>164</v>
      </c>
      <c r="E16" s="410">
        <v>30000</v>
      </c>
      <c r="F16" s="411"/>
      <c r="G16" s="412"/>
      <c r="H16" s="514"/>
      <c r="I16" s="515"/>
      <c r="J16" s="515"/>
      <c r="K16" s="516"/>
      <c r="L16" s="514"/>
      <c r="M16" s="515"/>
      <c r="N16" s="515"/>
      <c r="O16" s="516"/>
      <c r="P16" s="514"/>
      <c r="Q16" s="515"/>
      <c r="R16" s="515"/>
      <c r="S16" s="516"/>
    </row>
    <row r="17" spans="1:19" ht="20.25" customHeight="1">
      <c r="A17" s="126"/>
      <c r="B17" s="408" t="s">
        <v>166</v>
      </c>
      <c r="C17" s="409"/>
      <c r="D17" s="127" t="s">
        <v>164</v>
      </c>
      <c r="E17" s="410">
        <v>330000</v>
      </c>
      <c r="F17" s="411"/>
      <c r="G17" s="412"/>
      <c r="H17" s="127" t="s">
        <v>164</v>
      </c>
      <c r="I17" s="410">
        <v>330000</v>
      </c>
      <c r="J17" s="411"/>
      <c r="K17" s="412"/>
      <c r="L17" s="127" t="s">
        <v>164</v>
      </c>
      <c r="M17" s="410">
        <v>330000</v>
      </c>
      <c r="N17" s="411"/>
      <c r="O17" s="412"/>
      <c r="P17" s="127" t="s">
        <v>164</v>
      </c>
      <c r="Q17" s="410">
        <f>M17/2</f>
        <v>165000</v>
      </c>
      <c r="R17" s="411"/>
      <c r="S17" s="413"/>
    </row>
    <row r="18" spans="1:19" ht="20.25" customHeight="1">
      <c r="A18" s="126"/>
      <c r="B18" s="391" t="s">
        <v>167</v>
      </c>
      <c r="C18" s="392"/>
      <c r="D18" s="128" t="s">
        <v>164</v>
      </c>
      <c r="E18" s="393">
        <v>30000</v>
      </c>
      <c r="F18" s="394"/>
      <c r="G18" s="395"/>
      <c r="H18" s="128" t="s">
        <v>164</v>
      </c>
      <c r="I18" s="393">
        <v>30000</v>
      </c>
      <c r="J18" s="394"/>
      <c r="K18" s="414"/>
      <c r="L18" s="128" t="s">
        <v>164</v>
      </c>
      <c r="M18" s="393">
        <v>30000</v>
      </c>
      <c r="N18" s="394"/>
      <c r="O18" s="414"/>
      <c r="P18" s="128" t="s">
        <v>164</v>
      </c>
      <c r="Q18" s="393">
        <f>M18/2</f>
        <v>15000</v>
      </c>
      <c r="R18" s="394"/>
      <c r="S18" s="414"/>
    </row>
    <row r="19" spans="1:19" ht="20.25" customHeight="1">
      <c r="A19" s="126"/>
      <c r="B19" s="415" t="s">
        <v>168</v>
      </c>
      <c r="C19" s="416"/>
      <c r="D19" s="129" t="s">
        <v>164</v>
      </c>
      <c r="E19" s="512">
        <f>(E15+E16+E17+E18)*0.1</f>
        <v>44000</v>
      </c>
      <c r="F19" s="513"/>
      <c r="G19" s="416"/>
      <c r="H19" s="129" t="s">
        <v>164</v>
      </c>
      <c r="I19" s="417">
        <f>(I17+I18)*0.1</f>
        <v>36000</v>
      </c>
      <c r="J19" s="418"/>
      <c r="K19" s="419"/>
      <c r="L19" s="129" t="s">
        <v>164</v>
      </c>
      <c r="M19" s="417">
        <f>(M17+M18)*0.1</f>
        <v>36000</v>
      </c>
      <c r="N19" s="418"/>
      <c r="O19" s="419"/>
      <c r="P19" s="129" t="s">
        <v>164</v>
      </c>
      <c r="Q19" s="417">
        <f>(Q17+Q18)*0.1</f>
        <v>18000</v>
      </c>
      <c r="R19" s="418"/>
      <c r="S19" s="419"/>
    </row>
    <row r="20" spans="1:19" ht="18" customHeight="1">
      <c r="A20" s="126"/>
      <c r="B20" s="447" t="s">
        <v>169</v>
      </c>
      <c r="C20" s="448"/>
      <c r="D20" s="420" t="s">
        <v>164</v>
      </c>
      <c r="E20" s="443">
        <f>SUM(E15:G19)</f>
        <v>484000</v>
      </c>
      <c r="F20" s="444"/>
      <c r="G20" s="445"/>
      <c r="H20" s="420" t="s">
        <v>164</v>
      </c>
      <c r="I20" s="443">
        <f>SUM(I15:K19)</f>
        <v>396000</v>
      </c>
      <c r="J20" s="444"/>
      <c r="K20" s="445"/>
      <c r="L20" s="420" t="s">
        <v>164</v>
      </c>
      <c r="M20" s="443">
        <f>SUM(M15:O19)</f>
        <v>396000</v>
      </c>
      <c r="N20" s="444"/>
      <c r="O20" s="445"/>
      <c r="P20" s="420" t="s">
        <v>164</v>
      </c>
      <c r="Q20" s="443">
        <f>SUM(Q15:S19)</f>
        <v>198000</v>
      </c>
      <c r="R20" s="444"/>
      <c r="S20" s="445"/>
    </row>
    <row r="21" spans="1:19" ht="18" customHeight="1">
      <c r="A21" s="126"/>
      <c r="B21" s="433"/>
      <c r="C21" s="434"/>
      <c r="D21" s="421"/>
      <c r="E21" s="438"/>
      <c r="F21" s="438"/>
      <c r="G21" s="439"/>
      <c r="H21" s="421"/>
      <c r="I21" s="438"/>
      <c r="J21" s="438"/>
      <c r="K21" s="439"/>
      <c r="L21" s="421"/>
      <c r="M21" s="438"/>
      <c r="N21" s="438"/>
      <c r="O21" s="439"/>
      <c r="P21" s="421"/>
      <c r="Q21" s="438"/>
      <c r="R21" s="438"/>
      <c r="S21" s="439"/>
    </row>
    <row r="22" spans="1:19" ht="16.5" customHeight="1">
      <c r="A22" s="126"/>
    </row>
    <row r="23" spans="1:19" ht="20.25" customHeight="1">
      <c r="A23" s="126" t="s">
        <v>172</v>
      </c>
    </row>
    <row r="24" spans="1:19" ht="33" customHeight="1">
      <c r="A24" s="126"/>
      <c r="B24" s="397"/>
      <c r="C24" s="398"/>
      <c r="D24" s="399" t="s">
        <v>200</v>
      </c>
      <c r="E24" s="400"/>
      <c r="F24" s="400"/>
      <c r="G24" s="401"/>
      <c r="H24" s="405" t="s">
        <v>210</v>
      </c>
      <c r="I24" s="406"/>
      <c r="J24" s="406"/>
      <c r="K24" s="407"/>
      <c r="L24" s="405" t="s">
        <v>206</v>
      </c>
      <c r="M24" s="406"/>
      <c r="N24" s="406"/>
      <c r="O24" s="407"/>
    </row>
    <row r="25" spans="1:19" ht="20.25" customHeight="1">
      <c r="A25" s="126"/>
      <c r="B25" s="408" t="s">
        <v>163</v>
      </c>
      <c r="C25" s="409"/>
      <c r="D25" s="127" t="s">
        <v>164</v>
      </c>
      <c r="E25" s="410">
        <v>50000</v>
      </c>
      <c r="F25" s="411"/>
      <c r="G25" s="412"/>
      <c r="H25" s="509"/>
      <c r="I25" s="510"/>
      <c r="J25" s="510"/>
      <c r="K25" s="511"/>
      <c r="L25" s="509"/>
      <c r="M25" s="510"/>
      <c r="N25" s="510"/>
      <c r="O25" s="511"/>
    </row>
    <row r="26" spans="1:19" ht="20.25" customHeight="1">
      <c r="A26" s="126"/>
      <c r="B26" s="408" t="s">
        <v>165</v>
      </c>
      <c r="C26" s="409"/>
      <c r="D26" s="127" t="s">
        <v>164</v>
      </c>
      <c r="E26" s="410">
        <v>30000</v>
      </c>
      <c r="F26" s="411"/>
      <c r="G26" s="412"/>
      <c r="H26" s="514"/>
      <c r="I26" s="515"/>
      <c r="J26" s="515"/>
      <c r="K26" s="516"/>
      <c r="L26" s="514"/>
      <c r="M26" s="515"/>
      <c r="N26" s="515"/>
      <c r="O26" s="516"/>
    </row>
    <row r="27" spans="1:19" ht="20.25" customHeight="1">
      <c r="A27" s="126"/>
      <c r="B27" s="408" t="s">
        <v>166</v>
      </c>
      <c r="C27" s="409"/>
      <c r="D27" s="127" t="s">
        <v>164</v>
      </c>
      <c r="E27" s="410">
        <v>330000</v>
      </c>
      <c r="F27" s="411"/>
      <c r="G27" s="412"/>
      <c r="H27" s="127" t="s">
        <v>164</v>
      </c>
      <c r="I27" s="410">
        <v>330000</v>
      </c>
      <c r="J27" s="411"/>
      <c r="K27" s="412"/>
      <c r="L27" s="127" t="s">
        <v>164</v>
      </c>
      <c r="M27" s="410">
        <v>330000</v>
      </c>
      <c r="N27" s="411"/>
      <c r="O27" s="413"/>
    </row>
    <row r="28" spans="1:19" ht="20.25" customHeight="1">
      <c r="A28" s="126"/>
      <c r="B28" s="391" t="s">
        <v>167</v>
      </c>
      <c r="C28" s="392"/>
      <c r="D28" s="128" t="s">
        <v>164</v>
      </c>
      <c r="E28" s="393">
        <v>30000</v>
      </c>
      <c r="F28" s="394"/>
      <c r="G28" s="395"/>
      <c r="H28" s="128" t="s">
        <v>164</v>
      </c>
      <c r="I28" s="393">
        <v>30000</v>
      </c>
      <c r="J28" s="394"/>
      <c r="K28" s="414"/>
      <c r="L28" s="128" t="s">
        <v>164</v>
      </c>
      <c r="M28" s="393">
        <v>30000</v>
      </c>
      <c r="N28" s="394"/>
      <c r="O28" s="414"/>
    </row>
    <row r="29" spans="1:19" ht="20.25" customHeight="1">
      <c r="A29" s="126"/>
      <c r="B29" s="415" t="s">
        <v>168</v>
      </c>
      <c r="C29" s="416"/>
      <c r="D29" s="129" t="s">
        <v>164</v>
      </c>
      <c r="E29" s="512">
        <f>(E25+E26+E27+E28)*0.1</f>
        <v>44000</v>
      </c>
      <c r="F29" s="513"/>
      <c r="G29" s="416"/>
      <c r="H29" s="129" t="s">
        <v>164</v>
      </c>
      <c r="I29" s="417">
        <f>(I27+I28)*0.1</f>
        <v>36000</v>
      </c>
      <c r="J29" s="418"/>
      <c r="K29" s="419"/>
      <c r="L29" s="129" t="s">
        <v>164</v>
      </c>
      <c r="M29" s="417">
        <f>(M27+M28)*0.1</f>
        <v>36000</v>
      </c>
      <c r="N29" s="418"/>
      <c r="O29" s="419"/>
    </row>
    <row r="30" spans="1:19" ht="18" customHeight="1">
      <c r="A30" s="126"/>
      <c r="B30" s="447" t="s">
        <v>169</v>
      </c>
      <c r="C30" s="448"/>
      <c r="D30" s="420" t="s">
        <v>164</v>
      </c>
      <c r="E30" s="443">
        <f>SUM(E25:G29)</f>
        <v>484000</v>
      </c>
      <c r="F30" s="444"/>
      <c r="G30" s="445"/>
      <c r="H30" s="420" t="s">
        <v>164</v>
      </c>
      <c r="I30" s="443">
        <f>SUM(I25:K29)</f>
        <v>396000</v>
      </c>
      <c r="J30" s="444"/>
      <c r="K30" s="445"/>
      <c r="L30" s="420" t="s">
        <v>164</v>
      </c>
      <c r="M30" s="443">
        <f>SUM(M25:O29)</f>
        <v>396000</v>
      </c>
      <c r="N30" s="444"/>
      <c r="O30" s="445"/>
    </row>
    <row r="31" spans="1:19" ht="18" customHeight="1">
      <c r="A31" s="126"/>
      <c r="B31" s="433"/>
      <c r="C31" s="434"/>
      <c r="D31" s="421"/>
      <c r="E31" s="438"/>
      <c r="F31" s="438"/>
      <c r="G31" s="439"/>
      <c r="H31" s="421"/>
      <c r="I31" s="438"/>
      <c r="J31" s="438"/>
      <c r="K31" s="439"/>
      <c r="L31" s="421"/>
      <c r="M31" s="438"/>
      <c r="N31" s="438"/>
      <c r="O31" s="439"/>
    </row>
    <row r="32" spans="1:19" ht="16.5" customHeight="1">
      <c r="A32" s="126"/>
    </row>
    <row r="33" spans="1:19" ht="20.25" customHeight="1">
      <c r="A33" s="126" t="s">
        <v>174</v>
      </c>
    </row>
    <row r="34" spans="1:19" ht="28.5" customHeight="1">
      <c r="A34" s="126"/>
      <c r="B34" s="397"/>
      <c r="C34" s="398"/>
      <c r="D34" s="399" t="s">
        <v>200</v>
      </c>
      <c r="E34" s="400"/>
      <c r="F34" s="400"/>
      <c r="G34" s="401"/>
      <c r="H34" s="405" t="s">
        <v>211</v>
      </c>
      <c r="I34" s="406"/>
      <c r="J34" s="406"/>
      <c r="K34" s="407"/>
      <c r="L34" s="405" t="s">
        <v>207</v>
      </c>
      <c r="M34" s="406"/>
      <c r="N34" s="406"/>
      <c r="O34" s="407"/>
    </row>
    <row r="35" spans="1:19" ht="20.25" customHeight="1">
      <c r="A35" s="126"/>
      <c r="B35" s="408" t="s">
        <v>163</v>
      </c>
      <c r="C35" s="409"/>
      <c r="D35" s="127" t="s">
        <v>164</v>
      </c>
      <c r="E35" s="410">
        <v>50000</v>
      </c>
      <c r="F35" s="411"/>
      <c r="G35" s="412"/>
      <c r="H35" s="509"/>
      <c r="I35" s="510"/>
      <c r="J35" s="510"/>
      <c r="K35" s="511"/>
      <c r="L35" s="509"/>
      <c r="M35" s="510"/>
      <c r="N35" s="510"/>
      <c r="O35" s="511"/>
    </row>
    <row r="36" spans="1:19" ht="20.25" customHeight="1">
      <c r="A36" s="126"/>
      <c r="B36" s="408" t="s">
        <v>165</v>
      </c>
      <c r="C36" s="409"/>
      <c r="D36" s="127" t="s">
        <v>164</v>
      </c>
      <c r="E36" s="410">
        <v>30000</v>
      </c>
      <c r="F36" s="411"/>
      <c r="G36" s="412"/>
      <c r="H36" s="514"/>
      <c r="I36" s="515"/>
      <c r="J36" s="515"/>
      <c r="K36" s="516"/>
      <c r="L36" s="514"/>
      <c r="M36" s="515"/>
      <c r="N36" s="515"/>
      <c r="O36" s="516"/>
    </row>
    <row r="37" spans="1:19" ht="20.25" customHeight="1">
      <c r="A37" s="126"/>
      <c r="B37" s="408" t="s">
        <v>166</v>
      </c>
      <c r="C37" s="409"/>
      <c r="D37" s="127" t="s">
        <v>164</v>
      </c>
      <c r="E37" s="410">
        <v>330000</v>
      </c>
      <c r="F37" s="411"/>
      <c r="G37" s="412"/>
      <c r="H37" s="127" t="s">
        <v>164</v>
      </c>
      <c r="I37" s="410">
        <v>330000</v>
      </c>
      <c r="J37" s="411"/>
      <c r="K37" s="412"/>
      <c r="L37" s="127" t="s">
        <v>164</v>
      </c>
      <c r="M37" s="410">
        <f>I37/2</f>
        <v>165000</v>
      </c>
      <c r="N37" s="411"/>
      <c r="O37" s="413"/>
    </row>
    <row r="38" spans="1:19" ht="20.25" customHeight="1">
      <c r="A38" s="126"/>
      <c r="B38" s="391" t="s">
        <v>167</v>
      </c>
      <c r="C38" s="392"/>
      <c r="D38" s="128" t="s">
        <v>164</v>
      </c>
      <c r="E38" s="393">
        <v>30000</v>
      </c>
      <c r="F38" s="394"/>
      <c r="G38" s="395"/>
      <c r="H38" s="128" t="s">
        <v>164</v>
      </c>
      <c r="I38" s="393">
        <v>30000</v>
      </c>
      <c r="J38" s="394"/>
      <c r="K38" s="414"/>
      <c r="L38" s="128" t="s">
        <v>164</v>
      </c>
      <c r="M38" s="393">
        <f>I38/2</f>
        <v>15000</v>
      </c>
      <c r="N38" s="394"/>
      <c r="O38" s="414"/>
    </row>
    <row r="39" spans="1:19" ht="20.25" customHeight="1">
      <c r="A39" s="126"/>
      <c r="B39" s="415" t="s">
        <v>168</v>
      </c>
      <c r="C39" s="416"/>
      <c r="D39" s="129" t="s">
        <v>164</v>
      </c>
      <c r="E39" s="512">
        <f>(E35+E36+E37+E38)*0.1</f>
        <v>44000</v>
      </c>
      <c r="F39" s="513"/>
      <c r="G39" s="416"/>
      <c r="H39" s="129" t="s">
        <v>164</v>
      </c>
      <c r="I39" s="417">
        <f>(I37+I38)*0.1</f>
        <v>36000</v>
      </c>
      <c r="J39" s="418"/>
      <c r="K39" s="419"/>
      <c r="L39" s="129" t="s">
        <v>164</v>
      </c>
      <c r="M39" s="417">
        <f>(M37+M38)*0.1</f>
        <v>18000</v>
      </c>
      <c r="N39" s="418"/>
      <c r="O39" s="419"/>
    </row>
    <row r="40" spans="1:19" ht="18" customHeight="1">
      <c r="A40" s="126"/>
      <c r="B40" s="447" t="s">
        <v>169</v>
      </c>
      <c r="C40" s="448"/>
      <c r="D40" s="420" t="s">
        <v>164</v>
      </c>
      <c r="E40" s="443">
        <f>SUM(E35:G39)</f>
        <v>484000</v>
      </c>
      <c r="F40" s="444"/>
      <c r="G40" s="445"/>
      <c r="H40" s="420" t="s">
        <v>164</v>
      </c>
      <c r="I40" s="443">
        <f>SUM(I35:K39)</f>
        <v>396000</v>
      </c>
      <c r="J40" s="444"/>
      <c r="K40" s="445"/>
      <c r="L40" s="420" t="s">
        <v>164</v>
      </c>
      <c r="M40" s="443">
        <f>SUM(M35:O39)</f>
        <v>198000</v>
      </c>
      <c r="N40" s="444"/>
      <c r="O40" s="445"/>
    </row>
    <row r="41" spans="1:19" ht="18" customHeight="1">
      <c r="A41" s="126"/>
      <c r="B41" s="433"/>
      <c r="C41" s="434"/>
      <c r="D41" s="421"/>
      <c r="E41" s="438"/>
      <c r="F41" s="438"/>
      <c r="G41" s="439"/>
      <c r="H41" s="421"/>
      <c r="I41" s="438"/>
      <c r="J41" s="438"/>
      <c r="K41" s="439"/>
      <c r="L41" s="421"/>
      <c r="M41" s="438"/>
      <c r="N41" s="438"/>
      <c r="O41" s="439"/>
    </row>
    <row r="42" spans="1:19" ht="18" customHeight="1">
      <c r="A42" s="126"/>
      <c r="B42" s="131"/>
      <c r="C42" s="132"/>
      <c r="D42" s="133"/>
      <c r="E42" s="130"/>
      <c r="F42" s="130"/>
      <c r="G42" s="130"/>
      <c r="H42" s="133"/>
      <c r="I42" s="536" t="s">
        <v>176</v>
      </c>
      <c r="J42" s="537"/>
      <c r="K42" s="537"/>
      <c r="L42" s="537"/>
      <c r="M42" s="537"/>
      <c r="N42" s="537"/>
      <c r="O42" s="537"/>
      <c r="P42" s="537"/>
      <c r="Q42" s="537"/>
      <c r="R42" s="537"/>
      <c r="S42" s="537"/>
    </row>
    <row r="43" spans="1:19" ht="18.75" customHeight="1">
      <c r="I43" s="536"/>
      <c r="J43" s="537"/>
      <c r="K43" s="537"/>
      <c r="L43" s="537"/>
      <c r="M43" s="537"/>
      <c r="N43" s="537"/>
      <c r="O43" s="537"/>
      <c r="P43" s="537"/>
      <c r="Q43" s="537"/>
      <c r="R43" s="537"/>
      <c r="S43" s="537"/>
    </row>
    <row r="44" spans="1:19" ht="18.75" customHeight="1">
      <c r="I44" s="139"/>
    </row>
    <row r="45" spans="1:19" ht="18.75" customHeight="1">
      <c r="I45" s="139"/>
      <c r="Q45" s="250" t="s">
        <v>158</v>
      </c>
      <c r="R45" s="250"/>
      <c r="S45" s="250"/>
    </row>
    <row r="46" spans="1:19">
      <c r="A46" s="492" t="s">
        <v>177</v>
      </c>
      <c r="B46" s="492"/>
      <c r="C46" s="492"/>
      <c r="D46" s="492"/>
      <c r="E46" s="492"/>
      <c r="F46" s="492"/>
      <c r="G46" s="492"/>
      <c r="H46" s="492"/>
      <c r="I46" s="492"/>
      <c r="J46" s="492"/>
      <c r="K46" s="492"/>
      <c r="L46" s="492"/>
      <c r="M46" s="492"/>
      <c r="N46" s="492"/>
      <c r="O46" s="492"/>
    </row>
    <row r="47" spans="1:19" s="123" customFormat="1" ht="18">
      <c r="A47" s="492"/>
      <c r="B47" s="492"/>
      <c r="C47" s="492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2"/>
      <c r="O47" s="492"/>
    </row>
    <row r="48" spans="1:19" s="123" customFormat="1" ht="18"/>
    <row r="49" spans="2:19" s="123" customFormat="1" ht="43.5" customHeight="1">
      <c r="B49" s="134" t="s">
        <v>208</v>
      </c>
      <c r="C49" s="135"/>
      <c r="D49" s="556" t="s">
        <v>212</v>
      </c>
      <c r="E49" s="557"/>
      <c r="F49" s="557"/>
      <c r="G49" s="558"/>
      <c r="H49" s="136"/>
      <c r="I49" s="136"/>
      <c r="J49" s="136"/>
      <c r="K49" s="136"/>
      <c r="L49" s="136"/>
      <c r="M49" s="136"/>
      <c r="N49" s="136"/>
      <c r="O49" s="140"/>
    </row>
    <row r="50" spans="2:19" s="123" customFormat="1" ht="43.5" customHeight="1">
      <c r="B50" s="496" t="s">
        <v>180</v>
      </c>
      <c r="C50" s="520"/>
      <c r="D50" s="559" t="s">
        <v>213</v>
      </c>
      <c r="E50" s="560"/>
      <c r="F50" s="560"/>
      <c r="G50" s="550"/>
      <c r="H50" s="136"/>
      <c r="I50" s="136"/>
      <c r="J50" s="136"/>
      <c r="K50" s="136"/>
      <c r="L50" s="136"/>
      <c r="M50" s="136"/>
      <c r="N50" s="136"/>
      <c r="O50" s="140"/>
    </row>
    <row r="51" spans="2:19" s="123" customFormat="1" ht="43.5" customHeight="1">
      <c r="B51" s="476" t="s">
        <v>182</v>
      </c>
      <c r="C51" s="477"/>
      <c r="D51" s="551" t="s">
        <v>183</v>
      </c>
      <c r="E51" s="525"/>
      <c r="F51" s="525"/>
      <c r="G51" s="552"/>
      <c r="H51" s="459" t="s">
        <v>184</v>
      </c>
      <c r="I51" s="459"/>
      <c r="J51" s="459"/>
      <c r="K51" s="459"/>
      <c r="L51" s="136"/>
      <c r="M51" s="136"/>
      <c r="N51" s="136"/>
      <c r="O51" s="140"/>
    </row>
    <row r="52" spans="2:19" s="123" customFormat="1" ht="43.5" customHeight="1">
      <c r="B52" s="478"/>
      <c r="C52" s="479"/>
      <c r="D52" s="553"/>
      <c r="E52" s="554"/>
      <c r="F52" s="554"/>
      <c r="G52" s="555"/>
      <c r="H52" s="531"/>
      <c r="I52" s="531"/>
      <c r="J52" s="531"/>
      <c r="K52" s="531"/>
      <c r="O52" s="141"/>
    </row>
    <row r="53" spans="2:19" s="123" customFormat="1" ht="43.5" customHeight="1">
      <c r="B53" s="449" t="s">
        <v>185</v>
      </c>
      <c r="C53" s="450"/>
      <c r="D53" s="561" t="s">
        <v>214</v>
      </c>
      <c r="E53" s="562"/>
      <c r="F53" s="562"/>
      <c r="G53" s="563"/>
      <c r="H53" s="138"/>
      <c r="I53" s="138"/>
      <c r="J53" s="138"/>
      <c r="K53" s="138"/>
      <c r="L53" s="142"/>
      <c r="M53" s="142"/>
      <c r="N53" s="142"/>
      <c r="O53" s="143"/>
    </row>
    <row r="54" spans="2:19" s="123" customFormat="1" ht="74.25" customHeight="1">
      <c r="B54" s="454" t="s">
        <v>187</v>
      </c>
      <c r="C54" s="455"/>
      <c r="D54" s="456" t="s">
        <v>215</v>
      </c>
      <c r="E54" s="457"/>
      <c r="F54" s="457"/>
      <c r="G54" s="457"/>
      <c r="H54" s="457"/>
      <c r="I54" s="457"/>
      <c r="J54" s="457"/>
      <c r="K54" s="457"/>
      <c r="L54" s="457"/>
      <c r="M54" s="457"/>
      <c r="N54" s="457"/>
      <c r="O54" s="458"/>
    </row>
    <row r="55" spans="2:19" s="123" customFormat="1" ht="43.5" customHeight="1">
      <c r="B55" s="465" t="s">
        <v>189</v>
      </c>
      <c r="C55" s="466"/>
      <c r="D55" s="548" t="s">
        <v>190</v>
      </c>
      <c r="E55" s="549"/>
      <c r="F55" s="549"/>
      <c r="G55" s="550"/>
      <c r="H55" s="525" t="s">
        <v>191</v>
      </c>
      <c r="I55" s="477"/>
      <c r="J55" s="477"/>
      <c r="K55" s="526"/>
      <c r="L55" s="135" t="s">
        <v>192</v>
      </c>
      <c r="M55" s="135"/>
      <c r="N55" s="135"/>
      <c r="O55" s="144"/>
    </row>
    <row r="56" spans="2:19" s="123" customFormat="1" ht="43.5" customHeight="1">
      <c r="B56" s="465"/>
      <c r="C56" s="466"/>
      <c r="D56" s="548"/>
      <c r="E56" s="549"/>
      <c r="F56" s="549"/>
      <c r="G56" s="550"/>
      <c r="H56" s="527" t="s">
        <v>193</v>
      </c>
      <c r="I56" s="241"/>
      <c r="J56" s="241"/>
      <c r="K56" s="242"/>
      <c r="L56" s="135" t="s">
        <v>194</v>
      </c>
      <c r="M56" s="135"/>
      <c r="N56" s="135"/>
      <c r="O56" s="144"/>
    </row>
    <row r="57" spans="2:19" s="123" customFormat="1" ht="43.5" customHeight="1">
      <c r="B57" s="465"/>
      <c r="C57" s="466"/>
      <c r="D57" s="548"/>
      <c r="E57" s="549"/>
      <c r="F57" s="549"/>
      <c r="G57" s="550"/>
      <c r="H57" s="532" t="s">
        <v>195</v>
      </c>
      <c r="I57" s="532"/>
      <c r="J57" s="532"/>
      <c r="K57" s="533"/>
      <c r="L57" s="135" t="s">
        <v>196</v>
      </c>
      <c r="M57" s="135"/>
      <c r="N57" s="135"/>
      <c r="O57" s="146"/>
    </row>
    <row r="58" spans="2:19" s="123" customFormat="1" ht="72" customHeight="1">
      <c r="B58" s="454" t="s">
        <v>197</v>
      </c>
      <c r="C58" s="455"/>
      <c r="D58" s="456" t="s">
        <v>216</v>
      </c>
      <c r="E58" s="457"/>
      <c r="F58" s="457"/>
      <c r="G58" s="457"/>
      <c r="H58" s="457"/>
      <c r="I58" s="457"/>
      <c r="J58" s="457"/>
      <c r="K58" s="457"/>
      <c r="L58" s="457"/>
      <c r="M58" s="457"/>
      <c r="N58" s="457"/>
      <c r="O58" s="458"/>
    </row>
    <row r="60" spans="2:19" ht="45.75" customHeight="1">
      <c r="B60" s="461" t="s">
        <v>199</v>
      </c>
      <c r="C60" s="534"/>
      <c r="D60" s="534"/>
      <c r="E60" s="534"/>
      <c r="F60" s="534"/>
      <c r="G60" s="534"/>
      <c r="H60" s="534"/>
      <c r="I60" s="534"/>
      <c r="J60" s="534"/>
      <c r="K60" s="534"/>
      <c r="L60" s="534"/>
      <c r="M60" s="534"/>
      <c r="N60" s="534"/>
      <c r="O60" s="534"/>
      <c r="P60" s="534"/>
      <c r="Q60" s="534"/>
      <c r="R60" s="534"/>
      <c r="S60" s="535"/>
    </row>
    <row r="62" spans="2:19" ht="15.75">
      <c r="I62" s="536" t="s">
        <v>176</v>
      </c>
      <c r="J62" s="537"/>
      <c r="K62" s="537"/>
      <c r="L62" s="537"/>
      <c r="M62" s="537"/>
      <c r="N62" s="537"/>
      <c r="O62" s="537"/>
      <c r="P62" s="537"/>
      <c r="Q62" s="537"/>
      <c r="R62" s="537"/>
      <c r="S62" s="537"/>
    </row>
  </sheetData>
  <mergeCells count="165">
    <mergeCell ref="M20:O21"/>
    <mergeCell ref="E10:G11"/>
    <mergeCell ref="Q10:S11"/>
    <mergeCell ref="B10:C11"/>
    <mergeCell ref="I10:K11"/>
    <mergeCell ref="M10:O11"/>
    <mergeCell ref="I20:K21"/>
    <mergeCell ref="B20:C21"/>
    <mergeCell ref="E30:G31"/>
    <mergeCell ref="I30:K31"/>
    <mergeCell ref="M30:O31"/>
    <mergeCell ref="B27:C27"/>
    <mergeCell ref="E27:G27"/>
    <mergeCell ref="I27:K27"/>
    <mergeCell ref="M27:O27"/>
    <mergeCell ref="B28:C28"/>
    <mergeCell ref="E28:G28"/>
    <mergeCell ref="I28:K28"/>
    <mergeCell ref="M28:O28"/>
    <mergeCell ref="B29:C29"/>
    <mergeCell ref="E29:G29"/>
    <mergeCell ref="I29:K29"/>
    <mergeCell ref="M29:O29"/>
    <mergeCell ref="B24:C24"/>
    <mergeCell ref="A46:O47"/>
    <mergeCell ref="B40:C41"/>
    <mergeCell ref="E40:G41"/>
    <mergeCell ref="I40:K41"/>
    <mergeCell ref="B55:C57"/>
    <mergeCell ref="D55:G57"/>
    <mergeCell ref="B51:C52"/>
    <mergeCell ref="D51:G52"/>
    <mergeCell ref="H51:K52"/>
    <mergeCell ref="M40:O41"/>
    <mergeCell ref="H55:K55"/>
    <mergeCell ref="H56:K56"/>
    <mergeCell ref="H57:K57"/>
    <mergeCell ref="D49:G49"/>
    <mergeCell ref="B50:C50"/>
    <mergeCell ref="D50:G50"/>
    <mergeCell ref="B53:C53"/>
    <mergeCell ref="D53:G53"/>
    <mergeCell ref="B54:C54"/>
    <mergeCell ref="D54:O54"/>
    <mergeCell ref="B58:C58"/>
    <mergeCell ref="D58:O58"/>
    <mergeCell ref="B60:S60"/>
    <mergeCell ref="I62:S62"/>
    <mergeCell ref="D10:D11"/>
    <mergeCell ref="D20:D21"/>
    <mergeCell ref="D30:D31"/>
    <mergeCell ref="D40:D41"/>
    <mergeCell ref="H10:H11"/>
    <mergeCell ref="H20:H21"/>
    <mergeCell ref="H30:H31"/>
    <mergeCell ref="H40:H41"/>
    <mergeCell ref="L10:L11"/>
    <mergeCell ref="L20:L21"/>
    <mergeCell ref="L30:L31"/>
    <mergeCell ref="L40:L41"/>
    <mergeCell ref="P10:P11"/>
    <mergeCell ref="P20:P21"/>
    <mergeCell ref="E20:G21"/>
    <mergeCell ref="Q20:S21"/>
    <mergeCell ref="B30:C31"/>
    <mergeCell ref="I42:S42"/>
    <mergeCell ref="I43:S43"/>
    <mergeCell ref="Q45:S45"/>
    <mergeCell ref="B37:C37"/>
    <mergeCell ref="E37:G37"/>
    <mergeCell ref="I37:K37"/>
    <mergeCell ref="M37:O37"/>
    <mergeCell ref="B38:C38"/>
    <mergeCell ref="E38:G38"/>
    <mergeCell ref="I38:K38"/>
    <mergeCell ref="M38:O38"/>
    <mergeCell ref="B39:C39"/>
    <mergeCell ref="E39:G39"/>
    <mergeCell ref="I39:K39"/>
    <mergeCell ref="M39:O39"/>
    <mergeCell ref="B34:C34"/>
    <mergeCell ref="D34:G34"/>
    <mergeCell ref="H34:K34"/>
    <mergeCell ref="L34:O34"/>
    <mergeCell ref="B35:C35"/>
    <mergeCell ref="E35:G35"/>
    <mergeCell ref="H35:K35"/>
    <mergeCell ref="L35:O35"/>
    <mergeCell ref="B36:C36"/>
    <mergeCell ref="E36:G36"/>
    <mergeCell ref="H36:K36"/>
    <mergeCell ref="L36:O36"/>
    <mergeCell ref="D24:G24"/>
    <mergeCell ref="H24:K24"/>
    <mergeCell ref="L24:O24"/>
    <mergeCell ref="B25:C25"/>
    <mergeCell ref="E25:G25"/>
    <mergeCell ref="H25:K25"/>
    <mergeCell ref="L25:O25"/>
    <mergeCell ref="B26:C26"/>
    <mergeCell ref="E26:G26"/>
    <mergeCell ref="H26:K26"/>
    <mergeCell ref="L26:O26"/>
    <mergeCell ref="B18:C18"/>
    <mergeCell ref="E18:G18"/>
    <mergeCell ref="I18:K18"/>
    <mergeCell ref="M18:O18"/>
    <mergeCell ref="Q18:S18"/>
    <mergeCell ref="B19:C19"/>
    <mergeCell ref="E19:G19"/>
    <mergeCell ref="I19:K19"/>
    <mergeCell ref="M19:O19"/>
    <mergeCell ref="Q19:S19"/>
    <mergeCell ref="B16:C16"/>
    <mergeCell ref="E16:G16"/>
    <mergeCell ref="H16:K16"/>
    <mergeCell ref="L16:O16"/>
    <mergeCell ref="P16:S16"/>
    <mergeCell ref="B17:C17"/>
    <mergeCell ref="E17:G17"/>
    <mergeCell ref="I17:K17"/>
    <mergeCell ref="M17:O17"/>
    <mergeCell ref="Q17:S17"/>
    <mergeCell ref="B14:C14"/>
    <mergeCell ref="D14:G14"/>
    <mergeCell ref="H14:K14"/>
    <mergeCell ref="L14:O14"/>
    <mergeCell ref="P14:S14"/>
    <mergeCell ref="B15:C15"/>
    <mergeCell ref="E15:G15"/>
    <mergeCell ref="H15:K15"/>
    <mergeCell ref="L15:O15"/>
    <mergeCell ref="P15:S15"/>
    <mergeCell ref="B8:C8"/>
    <mergeCell ref="E8:G8"/>
    <mergeCell ref="I8:K8"/>
    <mergeCell ref="M8:O8"/>
    <mergeCell ref="Q8:S8"/>
    <mergeCell ref="B9:C9"/>
    <mergeCell ref="E9:G9"/>
    <mergeCell ref="I9:K9"/>
    <mergeCell ref="M9:O9"/>
    <mergeCell ref="Q9:S9"/>
    <mergeCell ref="B6:C6"/>
    <mergeCell ref="E6:G6"/>
    <mergeCell ref="H6:K6"/>
    <mergeCell ref="L6:O6"/>
    <mergeCell ref="P6:S6"/>
    <mergeCell ref="B7:C7"/>
    <mergeCell ref="E7:G7"/>
    <mergeCell ref="I7:K7"/>
    <mergeCell ref="M7:O7"/>
    <mergeCell ref="Q7:S7"/>
    <mergeCell ref="A1:S1"/>
    <mergeCell ref="Q2:S2"/>
    <mergeCell ref="B4:C4"/>
    <mergeCell ref="D4:G4"/>
    <mergeCell ref="H4:K4"/>
    <mergeCell ref="L4:O4"/>
    <mergeCell ref="P4:S4"/>
    <mergeCell ref="B5:C5"/>
    <mergeCell ref="E5:G5"/>
    <mergeCell ref="H5:K5"/>
    <mergeCell ref="L5:O5"/>
    <mergeCell ref="P5:S5"/>
  </mergeCells>
  <pageMargins left="0.74791666666666701" right="0.74791666666666701" top="0.39305555555555599" bottom="0.39305555555555599" header="0.51111111111111096" footer="0.51111111111111096"/>
  <pageSetup paperSize="9" orientation="portrait" verticalDpi="36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tabSelected="1" zoomScale="130" zoomScaleNormal="130" workbookViewId="0">
      <selection activeCell="U10" sqref="U10"/>
    </sheetView>
  </sheetViews>
  <sheetFormatPr defaultColWidth="9" defaultRowHeight="13.5"/>
  <cols>
    <col min="1" max="5" width="4.75" customWidth="1"/>
    <col min="6" max="8" width="3.75" customWidth="1"/>
    <col min="9" max="12" width="5.625" customWidth="1"/>
    <col min="13" max="19" width="4.75" customWidth="1"/>
  </cols>
  <sheetData>
    <row r="1" spans="1:19" ht="18.75" customHeight="1">
      <c r="A1" s="43" t="s">
        <v>0</v>
      </c>
      <c r="B1" s="44"/>
      <c r="C1" s="44"/>
      <c r="E1" s="44"/>
      <c r="F1" s="44"/>
      <c r="G1" s="45" t="s">
        <v>59</v>
      </c>
      <c r="H1" s="44"/>
      <c r="I1" s="44"/>
      <c r="J1" s="44"/>
      <c r="K1" s="44"/>
      <c r="L1" s="44"/>
      <c r="M1" s="45"/>
      <c r="N1" s="44"/>
      <c r="O1" s="43" t="s">
        <v>217</v>
      </c>
      <c r="P1" s="44"/>
      <c r="Q1" s="44"/>
      <c r="R1" s="44"/>
      <c r="S1" s="44"/>
    </row>
    <row r="2" spans="1:19" ht="6.75" customHeight="1"/>
    <row r="3" spans="1:19">
      <c r="A3" s="302" t="s">
        <v>6</v>
      </c>
      <c r="B3" s="303"/>
      <c r="C3" s="46" t="s">
        <v>60</v>
      </c>
      <c r="D3" s="47"/>
      <c r="E3" s="47"/>
      <c r="F3" s="47"/>
      <c r="G3" s="47"/>
      <c r="H3" s="47"/>
      <c r="I3" s="58"/>
      <c r="J3" s="47" t="s">
        <v>61</v>
      </c>
      <c r="K3" s="47"/>
      <c r="L3" s="47"/>
      <c r="M3" s="47"/>
      <c r="N3" s="47"/>
      <c r="O3" s="47"/>
      <c r="P3" s="77"/>
      <c r="Q3" s="58"/>
      <c r="R3" s="58"/>
      <c r="S3" s="87"/>
    </row>
    <row r="4" spans="1:19" ht="18.75" customHeight="1">
      <c r="A4" s="346"/>
      <c r="B4" s="338"/>
      <c r="C4" s="48" t="s">
        <v>265</v>
      </c>
      <c r="D4" s="49"/>
      <c r="E4" s="49"/>
      <c r="F4" s="49"/>
      <c r="G4" s="49"/>
      <c r="H4" s="49"/>
      <c r="I4" s="49"/>
      <c r="J4" s="49" t="s">
        <v>266</v>
      </c>
      <c r="K4" s="49"/>
      <c r="L4" s="49"/>
      <c r="M4" s="49"/>
      <c r="N4" s="49"/>
      <c r="O4" s="49"/>
      <c r="P4" s="78"/>
      <c r="Q4" s="277"/>
      <c r="R4" s="277"/>
      <c r="S4" s="278"/>
    </row>
    <row r="5" spans="1:19">
      <c r="A5" s="279" t="s">
        <v>62</v>
      </c>
      <c r="B5" s="280"/>
      <c r="C5" s="280"/>
      <c r="D5" s="280"/>
      <c r="E5" s="281"/>
      <c r="F5" s="282" t="s">
        <v>63</v>
      </c>
      <c r="G5" s="283"/>
      <c r="H5" s="283"/>
      <c r="I5" s="283"/>
      <c r="J5" s="283"/>
      <c r="K5" s="283"/>
      <c r="L5" s="283"/>
      <c r="M5" s="283"/>
      <c r="N5" s="284"/>
      <c r="O5" s="282" t="s">
        <v>64</v>
      </c>
      <c r="P5" s="285"/>
      <c r="Q5" s="277" t="s">
        <v>65</v>
      </c>
      <c r="R5" s="277"/>
      <c r="S5" s="278"/>
    </row>
    <row r="6" spans="1:19" ht="18.75" customHeight="1">
      <c r="A6" s="50" t="s">
        <v>241</v>
      </c>
      <c r="B6" s="51"/>
      <c r="C6" s="51"/>
      <c r="D6" s="51"/>
      <c r="E6" s="52"/>
      <c r="F6" s="53" t="s">
        <v>66</v>
      </c>
      <c r="G6" s="564">
        <v>2002</v>
      </c>
      <c r="H6" s="564"/>
      <c r="I6" s="49" t="s">
        <v>67</v>
      </c>
      <c r="J6" s="49">
        <v>10</v>
      </c>
      <c r="K6" s="49"/>
      <c r="L6" s="49" t="s">
        <v>68</v>
      </c>
      <c r="M6" s="49">
        <v>25</v>
      </c>
      <c r="N6" s="79"/>
      <c r="O6" s="353" t="s">
        <v>69</v>
      </c>
      <c r="P6" s="354"/>
      <c r="Q6" s="286"/>
      <c r="R6" s="277"/>
      <c r="S6" s="278"/>
    </row>
    <row r="7" spans="1:19" ht="13.5" customHeight="1">
      <c r="A7" s="567" t="s">
        <v>70</v>
      </c>
      <c r="B7" s="568"/>
      <c r="C7" s="287" t="s">
        <v>71</v>
      </c>
      <c r="D7" s="288"/>
      <c r="E7" s="288"/>
      <c r="F7" s="288"/>
      <c r="G7" s="288"/>
      <c r="H7" s="51"/>
      <c r="I7" s="51"/>
      <c r="J7" s="51"/>
      <c r="K7" s="51"/>
      <c r="L7" s="51"/>
      <c r="M7" s="51"/>
      <c r="N7" s="80"/>
      <c r="O7" s="355"/>
      <c r="P7" s="356"/>
      <c r="Q7" s="286" t="s">
        <v>72</v>
      </c>
      <c r="R7" s="277"/>
      <c r="S7" s="278"/>
    </row>
    <row r="8" spans="1:19" ht="18.75" customHeight="1">
      <c r="A8" s="569"/>
      <c r="B8" s="570"/>
      <c r="C8" s="565" t="s">
        <v>262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5"/>
      <c r="O8" s="49"/>
      <c r="P8" s="49"/>
      <c r="Q8" s="286"/>
      <c r="R8" s="277"/>
      <c r="S8" s="278"/>
    </row>
    <row r="9" spans="1:19" ht="13.5" customHeight="1">
      <c r="A9" s="569"/>
      <c r="B9" s="570"/>
      <c r="C9" s="53" t="s">
        <v>73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68"/>
      <c r="R9" s="69"/>
      <c r="S9" s="88"/>
    </row>
    <row r="10" spans="1:19" ht="18.75" customHeight="1">
      <c r="A10" s="569"/>
      <c r="B10" s="570"/>
      <c r="C10" s="54" t="s">
        <v>218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S10" s="89"/>
    </row>
    <row r="11" spans="1:19" ht="13.5" customHeight="1">
      <c r="A11" s="569"/>
      <c r="B11" s="570"/>
      <c r="C11" s="48" t="s">
        <v>75</v>
      </c>
      <c r="D11" s="49"/>
      <c r="E11" s="49"/>
      <c r="F11" s="49"/>
      <c r="G11" s="49"/>
      <c r="H11" s="49"/>
      <c r="I11" s="49"/>
      <c r="J11" s="81"/>
      <c r="K11" s="48" t="s">
        <v>76</v>
      </c>
      <c r="L11" s="49"/>
      <c r="M11" s="49"/>
      <c r="N11" s="49"/>
      <c r="O11" s="49"/>
      <c r="P11" s="49"/>
      <c r="Q11" s="49"/>
      <c r="R11" s="49"/>
      <c r="S11" s="78"/>
    </row>
    <row r="12" spans="1:19" ht="18.75" customHeight="1">
      <c r="A12" s="571"/>
      <c r="B12" s="572"/>
      <c r="C12" s="579" t="s">
        <v>268</v>
      </c>
      <c r="D12" s="580"/>
      <c r="E12" s="580"/>
      <c r="F12" s="580"/>
      <c r="G12" s="580"/>
      <c r="H12" s="580"/>
      <c r="I12" s="580"/>
      <c r="J12" s="57"/>
      <c r="K12" s="579" t="s">
        <v>267</v>
      </c>
      <c r="L12" s="580"/>
      <c r="M12" s="580"/>
      <c r="N12" s="580"/>
      <c r="O12" s="580"/>
      <c r="P12" s="580"/>
      <c r="Q12" s="580"/>
      <c r="R12" s="580"/>
      <c r="S12" s="581"/>
    </row>
    <row r="13" spans="1:19" ht="11.25" customHeight="1">
      <c r="A13" s="58"/>
      <c r="Q13" s="58"/>
    </row>
    <row r="14" spans="1:19">
      <c r="A14" s="59" t="s">
        <v>77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77"/>
    </row>
    <row r="15" spans="1:19">
      <c r="A15" s="289" t="s">
        <v>6</v>
      </c>
      <c r="B15" s="290"/>
      <c r="C15" s="290"/>
      <c r="D15" s="291" t="s">
        <v>78</v>
      </c>
      <c r="E15" s="292"/>
      <c r="F15" s="291" t="s">
        <v>63</v>
      </c>
      <c r="G15" s="293"/>
      <c r="H15" s="292"/>
      <c r="I15" s="290" t="s">
        <v>79</v>
      </c>
      <c r="J15" s="290"/>
      <c r="K15" s="290"/>
      <c r="L15" s="290"/>
      <c r="M15" s="290"/>
      <c r="N15" s="290"/>
      <c r="O15" s="290"/>
      <c r="P15" s="290"/>
      <c r="Q15" s="294" t="s">
        <v>80</v>
      </c>
      <c r="R15" s="294"/>
      <c r="S15" s="295"/>
    </row>
    <row r="16" spans="1:19" ht="18" customHeight="1">
      <c r="A16" s="60"/>
      <c r="B16" s="61"/>
      <c r="C16" s="62"/>
      <c r="D16" s="63"/>
      <c r="E16" s="64"/>
      <c r="F16" s="63"/>
      <c r="G16" s="65"/>
      <c r="H16" s="64"/>
      <c r="I16" s="82" t="s">
        <v>71</v>
      </c>
      <c r="J16" s="61"/>
      <c r="K16" s="61"/>
      <c r="L16" s="280"/>
      <c r="M16" s="280"/>
      <c r="N16" s="280"/>
      <c r="O16" s="280"/>
      <c r="P16" s="280"/>
      <c r="Q16" s="280"/>
      <c r="R16" s="280"/>
      <c r="S16" s="340"/>
    </row>
    <row r="17" spans="1:19" ht="18" customHeight="1">
      <c r="A17" s="66"/>
      <c r="B17" s="55"/>
      <c r="C17" s="67"/>
      <c r="D17" s="54"/>
      <c r="E17" s="67"/>
      <c r="F17" s="54"/>
      <c r="G17" s="55"/>
      <c r="H17" s="67"/>
      <c r="I17" s="83" t="s">
        <v>81</v>
      </c>
      <c r="J17" s="49"/>
      <c r="K17" s="49"/>
      <c r="L17" s="49"/>
      <c r="M17" s="49"/>
      <c r="N17" s="49"/>
      <c r="O17" s="49"/>
      <c r="P17" s="81"/>
      <c r="Q17" s="48"/>
      <c r="R17" s="49"/>
      <c r="S17" s="78"/>
    </row>
    <row r="18" spans="1:19" ht="18" customHeight="1">
      <c r="A18" s="50"/>
      <c r="B18" s="51"/>
      <c r="C18" s="52"/>
      <c r="D18" s="53"/>
      <c r="E18" s="52"/>
      <c r="F18" s="53"/>
      <c r="G18" s="51"/>
      <c r="H18" s="52"/>
      <c r="I18" s="82" t="s">
        <v>71</v>
      </c>
      <c r="J18" s="49"/>
      <c r="K18" s="49"/>
      <c r="L18" s="49"/>
      <c r="M18" s="49"/>
      <c r="N18" s="49"/>
      <c r="O18" s="49"/>
      <c r="P18" s="81"/>
      <c r="Q18" s="48"/>
      <c r="R18" s="49"/>
      <c r="S18" s="78"/>
    </row>
    <row r="19" spans="1:19" ht="18" customHeight="1">
      <c r="A19" s="66"/>
      <c r="B19" s="55"/>
      <c r="C19" s="67"/>
      <c r="D19" s="54"/>
      <c r="E19" s="67"/>
      <c r="F19" s="54"/>
      <c r="G19" s="55"/>
      <c r="H19" s="67"/>
      <c r="I19" s="83" t="s">
        <v>81</v>
      </c>
      <c r="J19" s="49"/>
      <c r="K19" s="49"/>
      <c r="L19" s="49"/>
      <c r="M19" s="49"/>
      <c r="N19" s="49"/>
      <c r="O19" s="49"/>
      <c r="P19" s="81"/>
      <c r="Q19" s="48"/>
      <c r="R19" s="49"/>
      <c r="S19" s="78"/>
    </row>
    <row r="20" spans="1:19" ht="18" customHeight="1">
      <c r="A20" s="50"/>
      <c r="B20" s="51"/>
      <c r="C20" s="52"/>
      <c r="D20" s="53"/>
      <c r="E20" s="52"/>
      <c r="F20" s="53"/>
      <c r="G20" s="51"/>
      <c r="H20" s="52"/>
      <c r="I20" s="82" t="s">
        <v>71</v>
      </c>
      <c r="J20" s="49"/>
      <c r="K20" s="49"/>
      <c r="L20" s="49"/>
      <c r="M20" s="49"/>
      <c r="N20" s="49"/>
      <c r="O20" s="49"/>
      <c r="P20" s="81"/>
      <c r="Q20" s="48"/>
      <c r="R20" s="49"/>
      <c r="S20" s="78"/>
    </row>
    <row r="21" spans="1:19" ht="18" customHeight="1">
      <c r="A21" s="66"/>
      <c r="B21" s="55"/>
      <c r="C21" s="67"/>
      <c r="D21" s="54"/>
      <c r="E21" s="67"/>
      <c r="F21" s="54"/>
      <c r="G21" s="55"/>
      <c r="H21" s="67"/>
      <c r="I21" s="83" t="s">
        <v>81</v>
      </c>
      <c r="J21" s="49"/>
      <c r="K21" s="49"/>
      <c r="L21" s="49"/>
      <c r="M21" s="49"/>
      <c r="N21" s="49"/>
      <c r="O21" s="49"/>
      <c r="P21" s="81"/>
      <c r="Q21" s="48"/>
      <c r="R21" s="49"/>
      <c r="S21" s="78"/>
    </row>
    <row r="22" spans="1:19" ht="18" customHeight="1">
      <c r="A22" s="50"/>
      <c r="B22" s="51"/>
      <c r="C22" s="52"/>
      <c r="D22" s="53"/>
      <c r="E22" s="52"/>
      <c r="F22" s="53"/>
      <c r="G22" s="51"/>
      <c r="H22" s="52"/>
      <c r="I22" s="82" t="s">
        <v>71</v>
      </c>
      <c r="J22" s="51"/>
      <c r="K22" s="51"/>
      <c r="L22" s="51"/>
      <c r="M22" s="51"/>
      <c r="N22" s="51"/>
      <c r="O22" s="51"/>
      <c r="P22" s="52"/>
      <c r="Q22" s="53"/>
      <c r="R22" s="51"/>
      <c r="S22" s="92"/>
    </row>
    <row r="23" spans="1:19" ht="18" customHeight="1">
      <c r="A23" s="66"/>
      <c r="B23" s="55"/>
      <c r="C23" s="67"/>
      <c r="D23" s="54"/>
      <c r="E23" s="67"/>
      <c r="F23" s="54"/>
      <c r="G23" s="55"/>
      <c r="H23" s="67"/>
      <c r="I23" s="83" t="s">
        <v>81</v>
      </c>
      <c r="J23" s="51"/>
      <c r="K23" s="51"/>
      <c r="L23" s="51"/>
      <c r="M23" s="51"/>
      <c r="N23" s="51"/>
      <c r="O23" s="51"/>
      <c r="P23" s="52"/>
      <c r="Q23" s="53"/>
      <c r="R23" s="51"/>
      <c r="S23" s="92"/>
    </row>
    <row r="24" spans="1:19" ht="18" customHeight="1">
      <c r="A24" s="50"/>
      <c r="B24" s="51"/>
      <c r="C24" s="52"/>
      <c r="D24" s="53"/>
      <c r="E24" s="52"/>
      <c r="F24" s="53"/>
      <c r="G24" s="51"/>
      <c r="H24" s="52"/>
      <c r="I24" s="82" t="s">
        <v>71</v>
      </c>
      <c r="J24" s="51"/>
      <c r="K24" s="51"/>
      <c r="L24" s="51"/>
      <c r="M24" s="51"/>
      <c r="N24" s="51"/>
      <c r="O24" s="51"/>
      <c r="P24" s="52"/>
      <c r="Q24" s="53"/>
      <c r="R24" s="51"/>
      <c r="S24" s="92"/>
    </row>
    <row r="25" spans="1:19" ht="18" customHeight="1">
      <c r="A25" s="68"/>
      <c r="B25" s="69"/>
      <c r="C25" s="70"/>
      <c r="D25" s="71"/>
      <c r="E25" s="70"/>
      <c r="F25" s="71"/>
      <c r="G25" s="69"/>
      <c r="H25" s="70"/>
      <c r="I25" s="84" t="s">
        <v>81</v>
      </c>
      <c r="J25" s="57"/>
      <c r="K25" s="57"/>
      <c r="L25" s="57"/>
      <c r="M25" s="57"/>
      <c r="N25" s="57"/>
      <c r="O25" s="57"/>
      <c r="P25" s="85"/>
      <c r="Q25" s="56"/>
      <c r="R25" s="57"/>
      <c r="S25" s="90"/>
    </row>
    <row r="26" spans="1:19" ht="11.25" customHeight="1"/>
    <row r="27" spans="1:19">
      <c r="A27" s="72" t="s">
        <v>82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46"/>
      <c r="N27" s="47"/>
      <c r="O27" s="47"/>
      <c r="P27" s="47"/>
      <c r="Q27" s="47"/>
      <c r="R27" s="47"/>
      <c r="S27" s="77"/>
    </row>
    <row r="28" spans="1:19" ht="18.75" customHeight="1">
      <c r="A28" s="296"/>
      <c r="B28" s="297"/>
      <c r="C28" s="298" t="s">
        <v>83</v>
      </c>
      <c r="D28" s="298"/>
      <c r="E28" s="298"/>
      <c r="F28" s="298"/>
      <c r="G28" s="298"/>
      <c r="H28" s="298"/>
      <c r="I28" s="298"/>
      <c r="J28" s="298"/>
      <c r="K28" s="298"/>
      <c r="L28" s="299" t="s">
        <v>84</v>
      </c>
      <c r="M28" s="300"/>
      <c r="N28" s="300"/>
      <c r="O28" s="300" t="s">
        <v>85</v>
      </c>
      <c r="P28" s="300"/>
      <c r="Q28" s="300"/>
      <c r="R28" s="299" t="s">
        <v>86</v>
      </c>
      <c r="S28" s="301"/>
    </row>
    <row r="29" spans="1:19" ht="18.75" customHeight="1">
      <c r="A29" s="302" t="s">
        <v>6</v>
      </c>
      <c r="B29" s="303"/>
      <c r="C29" s="304" t="s">
        <v>269</v>
      </c>
      <c r="D29" s="304"/>
      <c r="E29" s="304"/>
      <c r="F29" s="304"/>
      <c r="G29" s="304"/>
      <c r="H29" s="304"/>
      <c r="I29" s="304"/>
      <c r="J29" s="304"/>
      <c r="K29" s="304"/>
      <c r="L29" s="313" t="s">
        <v>270</v>
      </c>
      <c r="M29" s="313"/>
      <c r="N29" s="313"/>
      <c r="O29" s="313" t="s">
        <v>271</v>
      </c>
      <c r="P29" s="313"/>
      <c r="Q29" s="313"/>
      <c r="R29" s="315" t="s">
        <v>246</v>
      </c>
      <c r="S29" s="316"/>
    </row>
    <row r="30" spans="1:19" ht="18.75" customHeight="1">
      <c r="A30" s="305" t="s">
        <v>79</v>
      </c>
      <c r="B30" s="306"/>
      <c r="C30" s="371" t="s">
        <v>292</v>
      </c>
      <c r="D30" s="307"/>
      <c r="E30" s="307"/>
      <c r="F30" s="307"/>
      <c r="G30" s="307"/>
      <c r="H30" s="307"/>
      <c r="I30" s="307"/>
      <c r="J30" s="307"/>
      <c r="K30" s="307"/>
      <c r="L30" s="314"/>
      <c r="M30" s="314"/>
      <c r="N30" s="314"/>
      <c r="O30" s="314"/>
      <c r="P30" s="314"/>
      <c r="Q30" s="314"/>
      <c r="R30" s="317"/>
      <c r="S30" s="318"/>
    </row>
    <row r="31" spans="1:19" ht="18.75" customHeight="1">
      <c r="A31" s="289" t="s">
        <v>6</v>
      </c>
      <c r="B31" s="290"/>
      <c r="C31" s="308" t="s">
        <v>272</v>
      </c>
      <c r="D31" s="308"/>
      <c r="E31" s="308"/>
      <c r="F31" s="308"/>
      <c r="G31" s="308"/>
      <c r="H31" s="308"/>
      <c r="I31" s="308"/>
      <c r="J31" s="308"/>
      <c r="K31" s="308"/>
      <c r="L31" s="363" t="s">
        <v>275</v>
      </c>
      <c r="M31" s="363"/>
      <c r="N31" s="363"/>
      <c r="O31" s="363" t="s">
        <v>274</v>
      </c>
      <c r="P31" s="363"/>
      <c r="Q31" s="363"/>
      <c r="R31" s="379" t="s">
        <v>247</v>
      </c>
      <c r="S31" s="380"/>
    </row>
    <row r="32" spans="1:19" ht="18.75" customHeight="1">
      <c r="A32" s="309" t="s">
        <v>79</v>
      </c>
      <c r="B32" s="298"/>
      <c r="C32" s="310" t="s">
        <v>273</v>
      </c>
      <c r="D32" s="310"/>
      <c r="E32" s="310"/>
      <c r="F32" s="310"/>
      <c r="G32" s="310"/>
      <c r="H32" s="310"/>
      <c r="I32" s="310"/>
      <c r="J32" s="310"/>
      <c r="K32" s="310"/>
      <c r="L32" s="378"/>
      <c r="M32" s="378"/>
      <c r="N32" s="378"/>
      <c r="O32" s="378"/>
      <c r="P32" s="378"/>
      <c r="Q32" s="378"/>
      <c r="R32" s="381"/>
      <c r="S32" s="382"/>
    </row>
    <row r="33" spans="1:19" ht="18.75" customHeight="1">
      <c r="A33" s="302" t="s">
        <v>6</v>
      </c>
      <c r="B33" s="303"/>
      <c r="C33" s="304" t="s">
        <v>276</v>
      </c>
      <c r="D33" s="304"/>
      <c r="E33" s="304"/>
      <c r="F33" s="304"/>
      <c r="G33" s="304"/>
      <c r="H33" s="304"/>
      <c r="I33" s="304"/>
      <c r="J33" s="304"/>
      <c r="K33" s="304"/>
      <c r="L33" s="313" t="s">
        <v>279</v>
      </c>
      <c r="M33" s="313"/>
      <c r="N33" s="313"/>
      <c r="O33" s="313" t="s">
        <v>278</v>
      </c>
      <c r="P33" s="313"/>
      <c r="Q33" s="313"/>
      <c r="R33" s="315" t="s">
        <v>248</v>
      </c>
      <c r="S33" s="316"/>
    </row>
    <row r="34" spans="1:19" ht="18.75" customHeight="1">
      <c r="A34" s="305" t="s">
        <v>79</v>
      </c>
      <c r="B34" s="306"/>
      <c r="C34" s="573" t="s">
        <v>277</v>
      </c>
      <c r="D34" s="574"/>
      <c r="E34" s="574"/>
      <c r="F34" s="574"/>
      <c r="G34" s="574"/>
      <c r="H34" s="574"/>
      <c r="I34" s="574"/>
      <c r="J34" s="574"/>
      <c r="K34" s="575"/>
      <c r="L34" s="314"/>
      <c r="M34" s="314"/>
      <c r="N34" s="314"/>
      <c r="O34" s="314"/>
      <c r="P34" s="314"/>
      <c r="Q34" s="314"/>
      <c r="R34" s="317"/>
      <c r="S34" s="318"/>
    </row>
    <row r="35" spans="1:19" ht="18.75" customHeight="1">
      <c r="A35" s="289" t="s">
        <v>6</v>
      </c>
      <c r="B35" s="290"/>
      <c r="C35" s="308"/>
      <c r="D35" s="308"/>
      <c r="E35" s="308"/>
      <c r="F35" s="308"/>
      <c r="G35" s="308"/>
      <c r="H35" s="308"/>
      <c r="I35" s="308"/>
      <c r="J35" s="308"/>
      <c r="K35" s="308"/>
      <c r="L35" s="363" t="s">
        <v>87</v>
      </c>
      <c r="M35" s="363"/>
      <c r="N35" s="363"/>
      <c r="O35" s="363" t="s">
        <v>87</v>
      </c>
      <c r="P35" s="363"/>
      <c r="Q35" s="363"/>
      <c r="R35" s="379" t="s">
        <v>88</v>
      </c>
      <c r="S35" s="380"/>
    </row>
    <row r="36" spans="1:19" ht="18.75" customHeight="1">
      <c r="A36" s="305" t="s">
        <v>79</v>
      </c>
      <c r="B36" s="306"/>
      <c r="C36" s="307"/>
      <c r="D36" s="307"/>
      <c r="E36" s="307"/>
      <c r="F36" s="307"/>
      <c r="G36" s="307"/>
      <c r="H36" s="307"/>
      <c r="I36" s="307"/>
      <c r="J36" s="307"/>
      <c r="K36" s="307"/>
      <c r="L36" s="314"/>
      <c r="M36" s="314"/>
      <c r="N36" s="314"/>
      <c r="O36" s="314"/>
      <c r="P36" s="314"/>
      <c r="Q36" s="314"/>
      <c r="R36" s="317"/>
      <c r="S36" s="318"/>
    </row>
    <row r="37" spans="1:19" ht="11.25" customHeight="1"/>
    <row r="38" spans="1:19">
      <c r="A38" s="59" t="s">
        <v>89</v>
      </c>
      <c r="B38" s="47"/>
      <c r="C38" s="47"/>
      <c r="D38" s="47"/>
      <c r="E38" s="47" t="s">
        <v>90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77"/>
    </row>
    <row r="39" spans="1:19" ht="11.25" customHeight="1">
      <c r="A39" s="346" t="s">
        <v>6</v>
      </c>
      <c r="B39" s="338"/>
      <c r="C39" s="576" t="s">
        <v>280</v>
      </c>
      <c r="D39" s="338"/>
      <c r="E39" s="338"/>
      <c r="F39" s="338"/>
      <c r="G39" s="338"/>
      <c r="H39" s="338"/>
      <c r="I39" s="338"/>
      <c r="J39" s="338"/>
      <c r="K39" s="338"/>
      <c r="L39" s="298"/>
      <c r="M39" s="298"/>
      <c r="N39" s="298"/>
      <c r="O39" s="298"/>
      <c r="P39" s="311" t="s">
        <v>91</v>
      </c>
      <c r="Q39" s="311"/>
      <c r="R39" s="311" t="s">
        <v>86</v>
      </c>
      <c r="S39" s="312"/>
    </row>
    <row r="40" spans="1:19" ht="11.25" customHeight="1">
      <c r="A40" s="346"/>
      <c r="B40" s="338"/>
      <c r="C40" s="342"/>
      <c r="D40" s="342"/>
      <c r="E40" s="342"/>
      <c r="F40" s="342"/>
      <c r="G40" s="342"/>
      <c r="H40" s="342"/>
      <c r="I40" s="342"/>
      <c r="J40" s="342"/>
      <c r="K40" s="342"/>
      <c r="L40" s="363" t="s">
        <v>281</v>
      </c>
      <c r="M40" s="363"/>
      <c r="N40" s="363"/>
      <c r="O40" s="363"/>
      <c r="P40" s="383"/>
      <c r="Q40" s="383"/>
      <c r="R40" s="386" t="s">
        <v>88</v>
      </c>
      <c r="S40" s="387"/>
    </row>
    <row r="41" spans="1:19" ht="11.25" customHeight="1">
      <c r="A41" s="346" t="s">
        <v>79</v>
      </c>
      <c r="B41" s="338"/>
      <c r="C41" s="342"/>
      <c r="D41" s="342"/>
      <c r="E41" s="342"/>
      <c r="F41" s="342"/>
      <c r="G41" s="342"/>
      <c r="H41" s="342"/>
      <c r="I41" s="342"/>
      <c r="J41" s="342"/>
      <c r="K41" s="342"/>
      <c r="L41" s="298"/>
      <c r="M41" s="298"/>
      <c r="N41" s="298"/>
      <c r="O41" s="298"/>
      <c r="P41" s="384"/>
      <c r="Q41" s="384"/>
      <c r="R41" s="386"/>
      <c r="S41" s="387"/>
    </row>
    <row r="42" spans="1:19" ht="11.25" customHeight="1">
      <c r="A42" s="305"/>
      <c r="B42" s="306"/>
      <c r="C42" s="307"/>
      <c r="D42" s="307"/>
      <c r="E42" s="307"/>
      <c r="F42" s="307"/>
      <c r="G42" s="307"/>
      <c r="H42" s="307"/>
      <c r="I42" s="307"/>
      <c r="J42" s="307"/>
      <c r="K42" s="307"/>
      <c r="L42" s="390" t="s">
        <v>93</v>
      </c>
      <c r="M42" s="390"/>
      <c r="N42" s="390"/>
      <c r="O42" s="390"/>
      <c r="P42" s="385"/>
      <c r="Q42" s="385"/>
      <c r="R42" s="388"/>
      <c r="S42" s="389"/>
    </row>
    <row r="43" spans="1:19" ht="11.25" customHeight="1"/>
    <row r="44" spans="1:19">
      <c r="A44" s="72" t="s">
        <v>94</v>
      </c>
      <c r="B44" s="73"/>
      <c r="C44" s="73"/>
      <c r="D44" s="73"/>
      <c r="E44" s="73"/>
      <c r="F44" s="73"/>
      <c r="G44" s="73"/>
      <c r="H44" s="73"/>
      <c r="I44" s="46"/>
      <c r="J44" s="47"/>
      <c r="K44" s="47"/>
      <c r="L44" s="47"/>
      <c r="M44" s="47"/>
      <c r="N44" s="47"/>
      <c r="O44" s="47"/>
      <c r="P44" s="47"/>
      <c r="Q44" s="47"/>
      <c r="R44" s="47"/>
      <c r="S44" s="77"/>
    </row>
    <row r="45" spans="1:19" ht="11.25" customHeight="1">
      <c r="A45" s="346" t="s">
        <v>6</v>
      </c>
      <c r="B45" s="338"/>
      <c r="C45" s="338" t="s">
        <v>249</v>
      </c>
      <c r="D45" s="338"/>
      <c r="E45" s="338"/>
      <c r="F45" s="338"/>
      <c r="G45" s="338"/>
      <c r="H45" s="338"/>
      <c r="I45" s="338"/>
      <c r="J45" s="338"/>
      <c r="K45" s="338"/>
      <c r="L45" s="298"/>
      <c r="M45" s="298"/>
      <c r="N45" s="298"/>
      <c r="O45" s="298"/>
      <c r="P45" s="311" t="s">
        <v>86</v>
      </c>
      <c r="Q45" s="311"/>
      <c r="R45" s="311" t="s">
        <v>95</v>
      </c>
      <c r="S45" s="312"/>
    </row>
    <row r="46" spans="1:19" ht="11.25" customHeight="1">
      <c r="A46" s="346"/>
      <c r="B46" s="338"/>
      <c r="C46" s="342"/>
      <c r="D46" s="342"/>
      <c r="E46" s="342"/>
      <c r="F46" s="342"/>
      <c r="G46" s="342"/>
      <c r="H46" s="342"/>
      <c r="I46" s="342"/>
      <c r="J46" s="342"/>
      <c r="K46" s="342"/>
      <c r="L46" s="363" t="s">
        <v>282</v>
      </c>
      <c r="M46" s="363"/>
      <c r="N46" s="363"/>
      <c r="O46" s="363"/>
      <c r="P46" s="383" t="s">
        <v>252</v>
      </c>
      <c r="Q46" s="383"/>
      <c r="R46" s="386" t="s">
        <v>251</v>
      </c>
      <c r="S46" s="387"/>
    </row>
    <row r="47" spans="1:19" ht="11.25" customHeight="1">
      <c r="A47" s="346" t="s">
        <v>79</v>
      </c>
      <c r="B47" s="338"/>
      <c r="C47" s="342" t="s">
        <v>250</v>
      </c>
      <c r="D47" s="342"/>
      <c r="E47" s="342"/>
      <c r="F47" s="342"/>
      <c r="G47" s="342"/>
      <c r="H47" s="342"/>
      <c r="I47" s="342"/>
      <c r="J47" s="342"/>
      <c r="K47" s="342"/>
      <c r="L47" s="298"/>
      <c r="M47" s="298"/>
      <c r="N47" s="298"/>
      <c r="O47" s="298"/>
      <c r="P47" s="384"/>
      <c r="Q47" s="384"/>
      <c r="R47" s="386"/>
      <c r="S47" s="387"/>
    </row>
    <row r="48" spans="1:19" ht="11.25" customHeight="1">
      <c r="A48" s="305"/>
      <c r="B48" s="306"/>
      <c r="C48" s="307"/>
      <c r="D48" s="307"/>
      <c r="E48" s="307"/>
      <c r="F48" s="307"/>
      <c r="G48" s="307"/>
      <c r="H48" s="307"/>
      <c r="I48" s="307"/>
      <c r="J48" s="307"/>
      <c r="K48" s="307"/>
      <c r="L48" s="390" t="s">
        <v>283</v>
      </c>
      <c r="M48" s="390"/>
      <c r="N48" s="390"/>
      <c r="O48" s="390"/>
      <c r="P48" s="385"/>
      <c r="Q48" s="385"/>
      <c r="R48" s="388"/>
      <c r="S48" s="389"/>
    </row>
    <row r="49" spans="1:19" ht="11.25" customHeight="1"/>
    <row r="50" spans="1:19">
      <c r="A50" s="364" t="s">
        <v>98</v>
      </c>
      <c r="B50" s="365"/>
      <c r="C50" s="365"/>
      <c r="D50" s="365"/>
      <c r="E50" s="366"/>
      <c r="F50" s="75" t="s">
        <v>99</v>
      </c>
      <c r="G50" s="58"/>
      <c r="H50" s="58"/>
      <c r="I50" s="58"/>
      <c r="J50" s="58"/>
      <c r="K50" s="58" t="s">
        <v>100</v>
      </c>
      <c r="L50" s="58"/>
      <c r="M50" s="58"/>
      <c r="N50" s="58" t="s">
        <v>101</v>
      </c>
      <c r="O50" s="58"/>
      <c r="P50" s="58"/>
      <c r="Q50" s="58"/>
      <c r="R50" s="58"/>
      <c r="S50" s="87"/>
    </row>
    <row r="51" spans="1:19">
      <c r="A51" s="367"/>
      <c r="B51" s="293"/>
      <c r="C51" s="293"/>
      <c r="D51" s="293"/>
      <c r="E51" s="292"/>
      <c r="F51" s="54" t="s">
        <v>102</v>
      </c>
      <c r="G51" s="55"/>
      <c r="H51" s="55"/>
      <c r="I51" s="55" t="s">
        <v>103</v>
      </c>
      <c r="J51" s="55"/>
      <c r="K51" s="55"/>
      <c r="L51" s="55"/>
      <c r="M51" s="55" t="s">
        <v>104</v>
      </c>
      <c r="N51" s="55"/>
      <c r="O51" s="55"/>
      <c r="P51" s="55"/>
      <c r="Q51" s="55"/>
      <c r="R51" s="55"/>
      <c r="S51" s="93"/>
    </row>
    <row r="52" spans="1:19">
      <c r="A52" s="368" t="s">
        <v>105</v>
      </c>
      <c r="B52" s="369"/>
      <c r="C52" s="369"/>
      <c r="D52" s="53"/>
      <c r="E52" s="51"/>
      <c r="F52" s="51"/>
      <c r="G52" s="51"/>
      <c r="H52" s="51"/>
      <c r="I52" s="51"/>
      <c r="J52" s="51"/>
      <c r="K52" s="52"/>
      <c r="L52" s="369" t="s">
        <v>106</v>
      </c>
      <c r="M52" s="369"/>
      <c r="N52" s="369"/>
      <c r="O52" s="369"/>
      <c r="P52" s="53"/>
      <c r="Q52" s="51"/>
      <c r="R52" s="51"/>
      <c r="S52" s="92"/>
    </row>
    <row r="53" spans="1:19" ht="18.75" customHeight="1">
      <c r="A53" s="370"/>
      <c r="B53" s="371"/>
      <c r="C53" s="371"/>
      <c r="D53" s="71"/>
      <c r="E53" s="69"/>
      <c r="F53" s="69"/>
      <c r="G53" s="69"/>
      <c r="H53" s="69"/>
      <c r="I53" s="69"/>
      <c r="J53" s="69"/>
      <c r="K53" s="70"/>
      <c r="L53" s="371"/>
      <c r="M53" s="371"/>
      <c r="N53" s="371"/>
      <c r="O53" s="371"/>
      <c r="P53" s="71" t="s">
        <v>289</v>
      </c>
      <c r="Q53" s="69"/>
      <c r="R53" s="69"/>
      <c r="S53" s="88"/>
    </row>
    <row r="54" spans="1:19" ht="8.25" customHeight="1">
      <c r="A54" s="76"/>
      <c r="B54" s="76"/>
      <c r="C54" s="76"/>
      <c r="L54" s="76"/>
      <c r="M54" s="76"/>
      <c r="N54" s="76"/>
      <c r="O54" s="76"/>
    </row>
    <row r="55" spans="1:19" ht="13.5" customHeight="1">
      <c r="A55" t="s">
        <v>107</v>
      </c>
    </row>
    <row r="56" spans="1:19" ht="12.75" customHeight="1"/>
    <row r="57" spans="1:19" ht="23.25" customHeight="1">
      <c r="A57" s="69" t="s">
        <v>57</v>
      </c>
      <c r="B57" s="577">
        <v>46092</v>
      </c>
      <c r="C57" s="578"/>
      <c r="D57" s="578"/>
      <c r="E57" s="578"/>
      <c r="F57" s="578"/>
      <c r="G57" s="578"/>
      <c r="H57" s="578"/>
      <c r="J57" s="69" t="s">
        <v>58</v>
      </c>
      <c r="K57" s="69"/>
      <c r="L57" s="69"/>
      <c r="M57" s="69"/>
      <c r="N57" s="69"/>
      <c r="O57" s="69"/>
      <c r="P57" s="69"/>
      <c r="Q57" s="69"/>
      <c r="R57" s="69"/>
      <c r="S57" s="69"/>
    </row>
    <row r="58" spans="1:19" ht="12" customHeight="1"/>
    <row r="59" spans="1:19" ht="25.5">
      <c r="A59" s="276" t="s">
        <v>108</v>
      </c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</row>
    <row r="60" spans="1:19">
      <c r="R60" t="s">
        <v>109</v>
      </c>
    </row>
    <row r="61" spans="1:19">
      <c r="A61" s="69" t="s">
        <v>6</v>
      </c>
      <c r="B61" s="69" t="s">
        <v>260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</row>
    <row r="63" spans="1:19">
      <c r="A63" s="69" t="s">
        <v>110</v>
      </c>
      <c r="B63" s="69"/>
      <c r="C63" s="69"/>
      <c r="D63" s="69" t="s">
        <v>253</v>
      </c>
      <c r="E63" s="69" t="s">
        <v>284</v>
      </c>
      <c r="F63" s="69"/>
      <c r="G63" s="69"/>
      <c r="H63" s="69"/>
      <c r="I63" s="69"/>
      <c r="J63" s="69"/>
      <c r="K63" s="69"/>
      <c r="L63" s="69"/>
    </row>
    <row r="65" spans="1:19">
      <c r="A65" s="372" t="s">
        <v>111</v>
      </c>
      <c r="B65" s="373"/>
      <c r="C65" s="373"/>
      <c r="D65" s="376" t="s">
        <v>90</v>
      </c>
      <c r="E65" s="376"/>
      <c r="F65" s="303" t="s">
        <v>112</v>
      </c>
      <c r="G65" s="303"/>
      <c r="H65" s="303"/>
      <c r="I65" s="303"/>
      <c r="J65" s="303"/>
      <c r="K65" s="303"/>
      <c r="L65" s="303"/>
      <c r="M65" s="303"/>
      <c r="N65" s="303" t="s">
        <v>113</v>
      </c>
      <c r="O65" s="303"/>
      <c r="P65" s="303"/>
      <c r="Q65" s="303"/>
      <c r="R65" s="303"/>
      <c r="S65" s="319"/>
    </row>
    <row r="66" spans="1:19" ht="22.5" customHeight="1">
      <c r="A66" s="374"/>
      <c r="B66" s="375"/>
      <c r="C66" s="375"/>
      <c r="D66" s="377"/>
      <c r="E66" s="377"/>
      <c r="F66" s="320" t="s">
        <v>285</v>
      </c>
      <c r="G66" s="321"/>
      <c r="H66" s="321"/>
      <c r="I66" s="321"/>
      <c r="J66" s="321"/>
      <c r="K66" s="321"/>
      <c r="L66" s="321"/>
      <c r="M66" s="322"/>
      <c r="N66" s="323" t="s">
        <v>286</v>
      </c>
      <c r="O66" s="324"/>
      <c r="P66" s="324"/>
      <c r="Q66" s="324"/>
      <c r="R66" s="324"/>
      <c r="S66" s="325"/>
    </row>
    <row r="67" spans="1:19">
      <c r="A67" s="326" t="s">
        <v>115</v>
      </c>
      <c r="B67" s="327"/>
      <c r="C67" s="327"/>
      <c r="D67" s="327"/>
      <c r="E67" s="327"/>
      <c r="F67" s="327"/>
      <c r="G67" s="327"/>
      <c r="H67" s="327"/>
      <c r="I67" s="327"/>
      <c r="J67" s="328"/>
      <c r="K67" s="329" t="s">
        <v>116</v>
      </c>
      <c r="L67" s="327"/>
      <c r="M67" s="327"/>
      <c r="N67" s="327"/>
      <c r="O67" s="327"/>
      <c r="P67" s="327"/>
      <c r="Q67" s="327"/>
      <c r="R67" s="327"/>
      <c r="S67" s="330"/>
    </row>
    <row r="68" spans="1:19" ht="22.5" customHeight="1">
      <c r="A68" s="331" t="s">
        <v>244</v>
      </c>
      <c r="B68" s="332"/>
      <c r="C68" s="332"/>
      <c r="D68" s="332"/>
      <c r="E68" s="332"/>
      <c r="F68" s="332"/>
      <c r="G68" s="332"/>
      <c r="H68" s="332"/>
      <c r="I68" s="333"/>
      <c r="J68" s="334"/>
      <c r="K68" s="102" t="s">
        <v>117</v>
      </c>
      <c r="L68" s="57"/>
      <c r="M68" s="101"/>
      <c r="N68" s="101"/>
      <c r="O68" s="101"/>
      <c r="P68" s="101"/>
      <c r="Q68" s="101"/>
      <c r="R68" s="101"/>
      <c r="S68" s="122"/>
    </row>
    <row r="69" spans="1:19">
      <c r="I69" s="58"/>
      <c r="J69" s="58"/>
      <c r="K69" s="58"/>
      <c r="L69" s="58"/>
    </row>
    <row r="70" spans="1:19">
      <c r="A70" t="s">
        <v>118</v>
      </c>
    </row>
    <row r="71" spans="1:19" ht="15" customHeight="1">
      <c r="A71" s="351" t="s">
        <v>119</v>
      </c>
      <c r="B71" s="303" t="s">
        <v>120</v>
      </c>
      <c r="C71" s="303"/>
      <c r="D71" s="303"/>
      <c r="E71" s="303"/>
      <c r="F71" s="303"/>
      <c r="G71" s="303"/>
      <c r="H71" s="303" t="s">
        <v>121</v>
      </c>
      <c r="I71" s="303"/>
      <c r="J71" s="303" t="s">
        <v>122</v>
      </c>
      <c r="K71" s="303"/>
      <c r="L71" s="303" t="s">
        <v>123</v>
      </c>
      <c r="M71" s="303"/>
      <c r="N71" s="303"/>
      <c r="O71" s="303"/>
      <c r="P71" s="303"/>
      <c r="Q71" s="303"/>
      <c r="R71" s="303"/>
      <c r="S71" s="319"/>
    </row>
    <row r="72" spans="1:19" ht="30" customHeight="1">
      <c r="A72" s="352"/>
      <c r="B72" s="56"/>
      <c r="C72" s="57" t="s">
        <v>287</v>
      </c>
      <c r="D72" s="57"/>
      <c r="E72" s="57"/>
      <c r="F72" s="57"/>
      <c r="G72" s="85"/>
      <c r="H72" s="56" t="s">
        <v>245</v>
      </c>
      <c r="I72" s="85"/>
      <c r="J72" s="56">
        <v>121</v>
      </c>
      <c r="K72" s="85"/>
      <c r="L72" s="306" t="s">
        <v>124</v>
      </c>
      <c r="M72" s="306"/>
      <c r="N72" s="306"/>
      <c r="O72" s="306"/>
      <c r="P72" s="306"/>
      <c r="Q72" s="306"/>
      <c r="R72" s="306"/>
      <c r="S72" s="335"/>
    </row>
    <row r="73" spans="1:19" ht="15" customHeight="1">
      <c r="A73" s="351" t="s">
        <v>125</v>
      </c>
      <c r="B73" s="303" t="s">
        <v>120</v>
      </c>
      <c r="C73" s="303"/>
      <c r="D73" s="303"/>
      <c r="E73" s="303"/>
      <c r="F73" s="303"/>
      <c r="G73" s="303"/>
      <c r="H73" s="303" t="s">
        <v>121</v>
      </c>
      <c r="I73" s="303"/>
      <c r="J73" s="303" t="s">
        <v>122</v>
      </c>
      <c r="K73" s="303"/>
      <c r="L73" s="303" t="s">
        <v>123</v>
      </c>
      <c r="M73" s="303"/>
      <c r="N73" s="303"/>
      <c r="O73" s="303"/>
      <c r="P73" s="303"/>
      <c r="Q73" s="303"/>
      <c r="R73" s="303"/>
      <c r="S73" s="319"/>
    </row>
    <row r="74" spans="1:19" ht="30" customHeight="1">
      <c r="A74" s="352"/>
      <c r="B74" s="56"/>
      <c r="C74" s="57"/>
      <c r="D74" s="57"/>
      <c r="E74" s="57"/>
      <c r="F74" s="57"/>
      <c r="G74" s="85"/>
      <c r="H74" s="94" t="s">
        <v>126</v>
      </c>
      <c r="I74" s="85"/>
      <c r="J74" s="56"/>
      <c r="K74" s="85"/>
      <c r="L74" s="306" t="s">
        <v>124</v>
      </c>
      <c r="M74" s="306"/>
      <c r="N74" s="306"/>
      <c r="O74" s="306"/>
      <c r="P74" s="306"/>
      <c r="Q74" s="306"/>
      <c r="R74" s="306"/>
      <c r="S74" s="335"/>
    </row>
    <row r="75" spans="1:19" ht="15" customHeight="1">
      <c r="A75" s="95" t="s">
        <v>127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87"/>
    </row>
    <row r="76" spans="1:19" ht="30" customHeight="1">
      <c r="A76" s="68"/>
      <c r="B76" s="69" t="s">
        <v>128</v>
      </c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88"/>
    </row>
    <row r="77" spans="1:19" ht="13.5" customHeight="1">
      <c r="B77" s="96"/>
      <c r="C77" s="96"/>
    </row>
    <row r="78" spans="1:19">
      <c r="A78" t="s">
        <v>129</v>
      </c>
    </row>
    <row r="79" spans="1:19">
      <c r="A79" s="95" t="s">
        <v>6</v>
      </c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103"/>
      <c r="M79" s="75" t="s">
        <v>130</v>
      </c>
      <c r="N79" s="58"/>
      <c r="O79" s="58"/>
      <c r="P79" s="58"/>
      <c r="Q79" s="58"/>
      <c r="R79" s="58"/>
      <c r="S79" s="87"/>
    </row>
    <row r="80" spans="1:19" ht="26.25" customHeight="1">
      <c r="A80" t="s">
        <v>264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67"/>
      <c r="M80" s="582" t="s">
        <v>268</v>
      </c>
      <c r="N80" s="583"/>
      <c r="O80" s="583"/>
      <c r="P80" s="583"/>
      <c r="Q80" s="583"/>
      <c r="R80" s="583"/>
      <c r="S80" s="584"/>
    </row>
    <row r="81" spans="1:19">
      <c r="A81" s="50" t="s">
        <v>71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2"/>
      <c r="M81" s="53" t="s">
        <v>131</v>
      </c>
      <c r="N81" s="51"/>
      <c r="O81" s="51"/>
      <c r="P81" s="51"/>
      <c r="Q81" s="51"/>
      <c r="R81" s="51"/>
      <c r="S81" s="92"/>
    </row>
    <row r="82" spans="1:19" ht="26.25" customHeight="1">
      <c r="A82" s="66" t="s">
        <v>262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67"/>
      <c r="M82" s="104" t="s">
        <v>132</v>
      </c>
      <c r="N82" s="55"/>
      <c r="O82" s="55"/>
      <c r="P82" s="55"/>
      <c r="Q82" s="55"/>
      <c r="R82" s="55"/>
      <c r="S82" s="93"/>
    </row>
    <row r="83" spans="1:19">
      <c r="A83" s="50" t="s">
        <v>73</v>
      </c>
      <c r="B83" s="51"/>
      <c r="C83" s="51"/>
      <c r="D83" s="51"/>
      <c r="E83" s="51"/>
      <c r="F83" s="51"/>
      <c r="G83" s="51"/>
      <c r="H83" s="51"/>
      <c r="I83" s="105"/>
      <c r="J83" s="105"/>
      <c r="K83" s="105"/>
      <c r="L83" s="74"/>
      <c r="M83" s="53" t="s">
        <v>133</v>
      </c>
      <c r="N83" s="51"/>
      <c r="O83" s="51"/>
      <c r="P83" s="51"/>
      <c r="Q83" s="51"/>
      <c r="R83" s="51"/>
      <c r="S83" s="92"/>
    </row>
    <row r="84" spans="1:19" ht="26.25" customHeight="1">
      <c r="A84" s="66" t="s">
        <v>134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67"/>
      <c r="M84" s="54" t="s">
        <v>255</v>
      </c>
      <c r="N84" s="55"/>
      <c r="O84" s="55"/>
      <c r="P84" s="55"/>
      <c r="Q84" s="55"/>
      <c r="R84" s="55"/>
      <c r="S84" s="93"/>
    </row>
    <row r="85" spans="1:19">
      <c r="A85" s="50" t="s">
        <v>135</v>
      </c>
      <c r="B85" s="51"/>
      <c r="C85" s="51"/>
      <c r="D85" s="51"/>
      <c r="E85" s="51"/>
      <c r="F85" s="51"/>
      <c r="G85" s="51"/>
      <c r="H85" s="51"/>
      <c r="I85" s="105"/>
      <c r="J85" s="105"/>
      <c r="K85" s="105"/>
      <c r="L85" s="74"/>
      <c r="M85" s="53" t="s">
        <v>136</v>
      </c>
      <c r="N85" s="51"/>
      <c r="O85" s="51"/>
      <c r="P85" s="51"/>
      <c r="Q85" s="51"/>
      <c r="R85" s="51"/>
      <c r="S85" s="92"/>
    </row>
    <row r="86" spans="1:19" ht="26.25" customHeight="1">
      <c r="A86" t="s">
        <v>288</v>
      </c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67"/>
      <c r="M86" s="54"/>
      <c r="N86" s="55"/>
      <c r="O86" s="55"/>
      <c r="P86" s="55"/>
      <c r="Q86" s="55"/>
      <c r="R86" s="55"/>
      <c r="S86" s="93"/>
    </row>
    <row r="87" spans="1:19">
      <c r="A87" s="50" t="s">
        <v>137</v>
      </c>
      <c r="B87" s="51"/>
      <c r="C87" s="51"/>
      <c r="D87" s="51"/>
      <c r="E87" s="51"/>
      <c r="F87" s="51"/>
      <c r="G87" s="51"/>
      <c r="H87" s="51"/>
      <c r="I87" s="105"/>
      <c r="J87" s="105"/>
      <c r="K87" s="105"/>
      <c r="L87" s="74"/>
      <c r="M87" s="53" t="s">
        <v>138</v>
      </c>
      <c r="N87" s="51"/>
      <c r="O87" s="51"/>
      <c r="P87" s="51"/>
      <c r="Q87" s="51"/>
      <c r="R87" s="51"/>
      <c r="S87" s="92"/>
    </row>
    <row r="88" spans="1:19" ht="26.25" customHeight="1">
      <c r="A88" s="588" t="s">
        <v>290</v>
      </c>
      <c r="B88" s="589"/>
      <c r="C88" s="589"/>
      <c r="D88" s="589"/>
      <c r="E88" s="589"/>
      <c r="F88" s="589"/>
      <c r="G88" s="589"/>
      <c r="H88" s="589"/>
      <c r="I88" s="589"/>
      <c r="J88" s="589"/>
      <c r="K88" s="589"/>
      <c r="L88" s="590"/>
      <c r="M88" s="585" t="s">
        <v>291</v>
      </c>
      <c r="N88" s="586"/>
      <c r="O88" s="586"/>
      <c r="P88" s="586"/>
      <c r="Q88" s="586"/>
      <c r="R88" s="586"/>
      <c r="S88" s="587"/>
    </row>
    <row r="89" spans="1:19">
      <c r="A89" s="50" t="s">
        <v>139</v>
      </c>
      <c r="B89" s="51"/>
      <c r="C89" s="51"/>
      <c r="D89" s="51"/>
      <c r="E89" s="51"/>
      <c r="F89" s="51"/>
      <c r="G89" s="51"/>
      <c r="H89" s="51"/>
      <c r="I89" s="105"/>
      <c r="J89" s="74"/>
      <c r="K89" s="106" t="s">
        <v>140</v>
      </c>
      <c r="L89" s="105"/>
      <c r="M89" s="51"/>
      <c r="N89" s="51"/>
      <c r="O89" s="51"/>
      <c r="P89" s="51"/>
      <c r="Q89" s="51"/>
      <c r="R89" s="51"/>
      <c r="S89" s="92"/>
    </row>
    <row r="90" spans="1:19" ht="26.25" customHeight="1">
      <c r="A90" s="66" t="s">
        <v>219</v>
      </c>
      <c r="B90" s="55"/>
      <c r="C90" s="55"/>
      <c r="D90" s="55"/>
      <c r="E90" s="55"/>
      <c r="F90" s="55" t="s">
        <v>243</v>
      </c>
      <c r="G90" s="55"/>
      <c r="H90" s="55"/>
      <c r="I90" s="55"/>
      <c r="J90" s="67"/>
      <c r="K90" s="107" t="s">
        <v>220</v>
      </c>
      <c r="P90" t="s">
        <v>242</v>
      </c>
      <c r="S90" s="89"/>
    </row>
    <row r="91" spans="1:19">
      <c r="A91" s="50" t="s">
        <v>142</v>
      </c>
      <c r="B91" s="51"/>
      <c r="C91" s="51"/>
      <c r="D91" s="51"/>
      <c r="E91" s="51"/>
      <c r="F91" s="51"/>
      <c r="G91" s="51"/>
      <c r="H91" s="51"/>
      <c r="I91" s="105"/>
      <c r="J91" s="105"/>
      <c r="K91" s="108"/>
      <c r="L91" s="109"/>
      <c r="M91" s="58"/>
      <c r="N91" s="58"/>
      <c r="O91" s="58"/>
      <c r="P91" s="58"/>
      <c r="Q91" s="58"/>
      <c r="R91" s="58"/>
      <c r="S91" s="58"/>
    </row>
    <row r="92" spans="1:19" ht="26.25" customHeight="1">
      <c r="A92" s="68" t="s">
        <v>219</v>
      </c>
      <c r="B92" s="69"/>
      <c r="C92" s="69"/>
      <c r="D92" s="69"/>
      <c r="E92" s="69"/>
      <c r="F92" s="69"/>
      <c r="G92" s="69"/>
      <c r="H92" s="69"/>
      <c r="I92" s="69"/>
      <c r="J92" s="69"/>
      <c r="K92" s="110"/>
    </row>
    <row r="93" spans="1:19">
      <c r="I93" s="61"/>
      <c r="J93" s="61"/>
      <c r="K93" s="61"/>
      <c r="L93" s="61"/>
    </row>
    <row r="94" spans="1:19">
      <c r="A94" t="s">
        <v>143</v>
      </c>
      <c r="I94" s="61"/>
      <c r="J94" s="61"/>
      <c r="K94" s="61"/>
      <c r="L94" s="61"/>
    </row>
    <row r="95" spans="1:19">
      <c r="A95" s="72" t="s">
        <v>144</v>
      </c>
      <c r="B95" s="73"/>
      <c r="C95" s="73"/>
      <c r="D95" s="46"/>
      <c r="E95" s="97"/>
      <c r="F95" s="213" t="s">
        <v>90</v>
      </c>
      <c r="G95" s="58"/>
      <c r="H95" s="58"/>
      <c r="I95" s="111"/>
      <c r="J95" s="111"/>
      <c r="K95" s="112"/>
      <c r="L95" s="112"/>
      <c r="M95" s="58"/>
      <c r="N95" s="58"/>
      <c r="O95" s="58"/>
      <c r="P95" s="58"/>
      <c r="Q95" s="58"/>
      <c r="R95" s="47"/>
      <c r="S95" s="77"/>
    </row>
    <row r="96" spans="1:19" ht="22.5" customHeight="1">
      <c r="A96" s="337" t="s">
        <v>78</v>
      </c>
      <c r="B96" s="311"/>
      <c r="C96" s="338" t="s">
        <v>6</v>
      </c>
      <c r="D96" s="338"/>
      <c r="E96" s="338"/>
      <c r="F96" s="338"/>
      <c r="G96" s="282" t="s">
        <v>63</v>
      </c>
      <c r="H96" s="283"/>
      <c r="I96" s="283"/>
      <c r="J96" s="284"/>
      <c r="K96" s="339" t="s">
        <v>62</v>
      </c>
      <c r="L96" s="281"/>
      <c r="M96" s="339" t="s">
        <v>145</v>
      </c>
      <c r="N96" s="281"/>
      <c r="O96" s="339" t="s">
        <v>146</v>
      </c>
      <c r="P96" s="280"/>
      <c r="Q96" s="281"/>
      <c r="R96" s="339" t="s">
        <v>147</v>
      </c>
      <c r="S96" s="340"/>
    </row>
    <row r="97" spans="1:19" ht="30" customHeight="1">
      <c r="A97" s="341"/>
      <c r="B97" s="342"/>
      <c r="C97" s="342"/>
      <c r="D97" s="342"/>
      <c r="E97" s="342"/>
      <c r="F97" s="342"/>
      <c r="G97" s="98" t="s">
        <v>148</v>
      </c>
      <c r="H97" s="98"/>
      <c r="I97" s="49"/>
      <c r="J97" s="49"/>
      <c r="K97" s="113"/>
      <c r="L97" s="114"/>
      <c r="M97" s="339" t="s">
        <v>149</v>
      </c>
      <c r="N97" s="280"/>
      <c r="O97" s="115"/>
      <c r="P97" s="49"/>
      <c r="Q97" s="81"/>
      <c r="R97" s="48"/>
      <c r="S97" s="78"/>
    </row>
    <row r="98" spans="1:19" ht="30" customHeight="1">
      <c r="A98" s="341"/>
      <c r="B98" s="342"/>
      <c r="C98" s="342"/>
      <c r="D98" s="342"/>
      <c r="E98" s="342"/>
      <c r="F98" s="342"/>
      <c r="G98" s="98" t="s">
        <v>148</v>
      </c>
      <c r="H98" s="98"/>
      <c r="I98" s="49"/>
      <c r="J98" s="49"/>
      <c r="K98" s="113"/>
      <c r="L98" s="114"/>
      <c r="M98" s="339" t="s">
        <v>149</v>
      </c>
      <c r="N98" s="280"/>
      <c r="O98" s="115"/>
      <c r="P98" s="49"/>
      <c r="Q98" s="81"/>
      <c r="R98" s="48"/>
      <c r="S98" s="78"/>
    </row>
    <row r="99" spans="1:19" ht="30" customHeight="1">
      <c r="A99" s="343"/>
      <c r="B99" s="307"/>
      <c r="C99" s="307"/>
      <c r="D99" s="307"/>
      <c r="E99" s="307"/>
      <c r="F99" s="307"/>
      <c r="G99" s="86" t="s">
        <v>148</v>
      </c>
      <c r="H99" s="86"/>
      <c r="I99" s="57"/>
      <c r="J99" s="57"/>
      <c r="K99" s="116"/>
      <c r="L99" s="117"/>
      <c r="M99" s="344" t="s">
        <v>149</v>
      </c>
      <c r="N99" s="345"/>
      <c r="O99" s="118"/>
      <c r="P99" s="57"/>
      <c r="Q99" s="85"/>
      <c r="R99" s="56"/>
      <c r="S99" s="90"/>
    </row>
    <row r="100" spans="1:19">
      <c r="I100" s="61"/>
      <c r="J100" s="61"/>
      <c r="K100" s="61"/>
      <c r="L100" s="61"/>
    </row>
    <row r="101" spans="1:19">
      <c r="A101" s="59" t="s">
        <v>150</v>
      </c>
      <c r="B101" s="47"/>
      <c r="C101" s="47"/>
      <c r="D101" s="47"/>
      <c r="E101" s="47"/>
      <c r="F101" s="47"/>
      <c r="G101" s="47"/>
      <c r="H101" s="47"/>
      <c r="I101" s="119"/>
      <c r="J101" s="119"/>
      <c r="K101" s="120"/>
      <c r="L101" s="121"/>
      <c r="M101" s="58"/>
      <c r="N101" s="58"/>
      <c r="O101" s="47"/>
      <c r="P101" s="47"/>
      <c r="Q101" s="47"/>
      <c r="R101" s="47"/>
      <c r="S101" s="77"/>
    </row>
    <row r="102" spans="1:19">
      <c r="A102" s="346" t="s">
        <v>151</v>
      </c>
      <c r="B102" s="338"/>
      <c r="C102" s="338"/>
      <c r="D102" s="338"/>
      <c r="E102" s="338"/>
      <c r="F102" s="282" t="s">
        <v>152</v>
      </c>
      <c r="G102" s="283"/>
      <c r="H102" s="283"/>
      <c r="I102" s="283"/>
      <c r="J102" s="283"/>
      <c r="K102" s="282" t="s">
        <v>153</v>
      </c>
      <c r="L102" s="283"/>
      <c r="M102" s="283"/>
      <c r="N102" s="284"/>
      <c r="O102" s="280" t="s">
        <v>154</v>
      </c>
      <c r="P102" s="280"/>
      <c r="Q102" s="280"/>
      <c r="R102" s="280"/>
      <c r="S102" s="340"/>
    </row>
    <row r="103" spans="1:19" ht="26.25" customHeight="1">
      <c r="A103" s="347" t="s">
        <v>155</v>
      </c>
      <c r="B103" s="348"/>
      <c r="C103" s="348"/>
      <c r="D103" s="348"/>
      <c r="E103" s="348"/>
      <c r="F103" s="99" t="s">
        <v>155</v>
      </c>
      <c r="G103" s="100"/>
      <c r="H103" s="69"/>
      <c r="I103" s="69"/>
      <c r="J103" s="69"/>
      <c r="K103" s="71"/>
      <c r="L103" s="69"/>
      <c r="M103" s="69"/>
      <c r="N103" s="70"/>
      <c r="O103" s="349"/>
      <c r="P103" s="349"/>
      <c r="Q103" s="349"/>
      <c r="R103" s="349"/>
      <c r="S103" s="350"/>
    </row>
    <row r="104" spans="1:19">
      <c r="I104" s="61"/>
      <c r="J104" s="61"/>
      <c r="K104" s="65"/>
      <c r="L104" s="65"/>
    </row>
  </sheetData>
  <mergeCells count="130">
    <mergeCell ref="B57:H57"/>
    <mergeCell ref="K12:S12"/>
    <mergeCell ref="C12:I12"/>
    <mergeCell ref="L16:S16"/>
    <mergeCell ref="M80:S80"/>
    <mergeCell ref="M88:S88"/>
    <mergeCell ref="A88:L88"/>
    <mergeCell ref="O31:Q32"/>
    <mergeCell ref="R33:S34"/>
    <mergeCell ref="A50:E51"/>
    <mergeCell ref="A65:C66"/>
    <mergeCell ref="D65:E66"/>
    <mergeCell ref="C47:K48"/>
    <mergeCell ref="P46:Q48"/>
    <mergeCell ref="R46:S48"/>
    <mergeCell ref="A47:B48"/>
    <mergeCell ref="A45:B46"/>
    <mergeCell ref="A52:C53"/>
    <mergeCell ref="L52:O53"/>
    <mergeCell ref="C45:K46"/>
    <mergeCell ref="A41:B42"/>
    <mergeCell ref="C41:K42"/>
    <mergeCell ref="R35:S36"/>
    <mergeCell ref="L72:S72"/>
    <mergeCell ref="A102:E102"/>
    <mergeCell ref="F102:J102"/>
    <mergeCell ref="K102:N102"/>
    <mergeCell ref="O102:S102"/>
    <mergeCell ref="A103:E103"/>
    <mergeCell ref="O103:S103"/>
    <mergeCell ref="A71:A72"/>
    <mergeCell ref="A73:A74"/>
    <mergeCell ref="A97:B97"/>
    <mergeCell ref="C97:F97"/>
    <mergeCell ref="M97:N97"/>
    <mergeCell ref="A98:B98"/>
    <mergeCell ref="C98:F98"/>
    <mergeCell ref="M98:N98"/>
    <mergeCell ref="A99:B99"/>
    <mergeCell ref="C99:F99"/>
    <mergeCell ref="M99:N99"/>
    <mergeCell ref="H73:I73"/>
    <mergeCell ref="J73:K73"/>
    <mergeCell ref="L73:S73"/>
    <mergeCell ref="L74:S74"/>
    <mergeCell ref="A96:B96"/>
    <mergeCell ref="C96:F96"/>
    <mergeCell ref="G96:J96"/>
    <mergeCell ref="L41:O41"/>
    <mergeCell ref="L42:O42"/>
    <mergeCell ref="A29:B29"/>
    <mergeCell ref="C29:K29"/>
    <mergeCell ref="A30:B30"/>
    <mergeCell ref="C30:K30"/>
    <mergeCell ref="A31:B31"/>
    <mergeCell ref="C31:K31"/>
    <mergeCell ref="A32:B32"/>
    <mergeCell ref="C32:K32"/>
    <mergeCell ref="K96:L96"/>
    <mergeCell ref="M96:N96"/>
    <mergeCell ref="O96:Q96"/>
    <mergeCell ref="R96:S96"/>
    <mergeCell ref="A59:S59"/>
    <mergeCell ref="F65:M65"/>
    <mergeCell ref="N65:S65"/>
    <mergeCell ref="F66:M66"/>
    <mergeCell ref="N66:S66"/>
    <mergeCell ref="A67:J67"/>
    <mergeCell ref="K67:S67"/>
    <mergeCell ref="A68:J68"/>
    <mergeCell ref="B71:G71"/>
    <mergeCell ref="H71:I71"/>
    <mergeCell ref="J71:K71"/>
    <mergeCell ref="L71:S71"/>
    <mergeCell ref="B73:G73"/>
    <mergeCell ref="L45:O45"/>
    <mergeCell ref="P45:Q45"/>
    <mergeCell ref="R45:S45"/>
    <mergeCell ref="L46:O46"/>
    <mergeCell ref="L47:O47"/>
    <mergeCell ref="L48:O48"/>
    <mergeCell ref="A34:B34"/>
    <mergeCell ref="C34:K34"/>
    <mergeCell ref="A35:B35"/>
    <mergeCell ref="C35:K35"/>
    <mergeCell ref="A36:B36"/>
    <mergeCell ref="C36:K36"/>
    <mergeCell ref="L39:O39"/>
    <mergeCell ref="P39:Q39"/>
    <mergeCell ref="R39:S39"/>
    <mergeCell ref="A39:B40"/>
    <mergeCell ref="P40:Q42"/>
    <mergeCell ref="R40:S42"/>
    <mergeCell ref="L35:N36"/>
    <mergeCell ref="O35:Q36"/>
    <mergeCell ref="C39:K40"/>
    <mergeCell ref="L33:N34"/>
    <mergeCell ref="O33:Q34"/>
    <mergeCell ref="L40:O40"/>
    <mergeCell ref="A33:B33"/>
    <mergeCell ref="C33:K33"/>
    <mergeCell ref="A15:C15"/>
    <mergeCell ref="D15:E15"/>
    <mergeCell ref="F15:H15"/>
    <mergeCell ref="I15:P15"/>
    <mergeCell ref="Q15:S15"/>
    <mergeCell ref="A28:B28"/>
    <mergeCell ref="C28:K28"/>
    <mergeCell ref="L28:N28"/>
    <mergeCell ref="O28:Q28"/>
    <mergeCell ref="R28:S28"/>
    <mergeCell ref="R29:S30"/>
    <mergeCell ref="L29:N30"/>
    <mergeCell ref="O29:Q30"/>
    <mergeCell ref="R31:S32"/>
    <mergeCell ref="L31:N32"/>
    <mergeCell ref="Q4:S4"/>
    <mergeCell ref="A5:E5"/>
    <mergeCell ref="F5:N5"/>
    <mergeCell ref="O5:P5"/>
    <mergeCell ref="Q5:S5"/>
    <mergeCell ref="Q6:S6"/>
    <mergeCell ref="C7:G7"/>
    <mergeCell ref="Q7:S7"/>
    <mergeCell ref="Q8:S8"/>
    <mergeCell ref="G6:H6"/>
    <mergeCell ref="C8:M8"/>
    <mergeCell ref="A3:B4"/>
    <mergeCell ref="O6:P7"/>
    <mergeCell ref="A7:B12"/>
  </mergeCells>
  <pageMargins left="0.39305555555555599" right="0.196527777777778" top="0.196527777777778" bottom="0" header="0.51180555555555596" footer="0.51180555555555596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opLeftCell="A25" workbookViewId="0">
      <selection activeCell="I31" sqref="I31:S31"/>
    </sheetView>
  </sheetViews>
  <sheetFormatPr defaultColWidth="9" defaultRowHeight="13.5"/>
  <cols>
    <col min="1" max="24" width="3.875" style="1" customWidth="1"/>
  </cols>
  <sheetData>
    <row r="1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2" t="s">
        <v>221</v>
      </c>
      <c r="R1" s="33"/>
      <c r="S1" s="3"/>
      <c r="T1" s="3"/>
      <c r="U1" s="3"/>
      <c r="V1" s="3"/>
      <c r="W1" s="3"/>
      <c r="X1" s="34"/>
    </row>
    <row r="2" spans="1:24" ht="18.75">
      <c r="A2" s="591" t="s">
        <v>222</v>
      </c>
      <c r="B2" s="592"/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3"/>
    </row>
    <row r="3" spans="1:24">
      <c r="A3" s="4"/>
      <c r="X3" s="35"/>
    </row>
    <row r="4" spans="1:24" ht="17.25">
      <c r="A4" s="5" t="s">
        <v>223</v>
      </c>
      <c r="B4" s="6"/>
      <c r="C4" s="6"/>
      <c r="D4" s="6"/>
      <c r="E4" s="6"/>
      <c r="F4" s="6"/>
      <c r="G4" s="6"/>
      <c r="H4" s="6"/>
      <c r="I4" s="6"/>
      <c r="X4" s="35"/>
    </row>
    <row r="5" spans="1:24" ht="22.5" customHeight="1">
      <c r="A5" s="4"/>
      <c r="X5" s="35"/>
    </row>
    <row r="6" spans="1:24" ht="22.5" customHeight="1">
      <c r="A6" s="4"/>
      <c r="B6" s="7" t="s">
        <v>62</v>
      </c>
      <c r="C6" s="7"/>
      <c r="D6" s="8"/>
      <c r="E6" s="8"/>
      <c r="F6" s="8"/>
      <c r="G6" s="8"/>
      <c r="H6" s="8"/>
      <c r="I6" s="8"/>
      <c r="J6" s="7"/>
      <c r="K6" s="7"/>
      <c r="M6" s="26" t="s">
        <v>63</v>
      </c>
      <c r="N6" s="7"/>
      <c r="O6" s="7"/>
      <c r="P6" s="7"/>
      <c r="Q6" s="7" t="s">
        <v>224</v>
      </c>
      <c r="R6" s="7"/>
      <c r="S6" s="7"/>
      <c r="T6" s="7"/>
      <c r="U6" s="7"/>
      <c r="V6" s="7"/>
      <c r="W6" s="7"/>
      <c r="X6" s="36"/>
    </row>
    <row r="7" spans="1:24" ht="22.5" customHeight="1">
      <c r="A7" s="4"/>
      <c r="B7" s="606" t="s">
        <v>241</v>
      </c>
      <c r="C7" s="607"/>
      <c r="D7" s="607"/>
      <c r="E7" s="607"/>
      <c r="F7" s="607"/>
      <c r="G7" s="607"/>
      <c r="H7" s="607"/>
      <c r="I7" s="607"/>
      <c r="J7" s="607"/>
      <c r="Q7" s="606" t="s">
        <v>261</v>
      </c>
      <c r="R7" s="607"/>
      <c r="S7" s="607"/>
      <c r="T7" s="607"/>
      <c r="U7" s="607"/>
      <c r="V7" s="607"/>
      <c r="W7" s="607"/>
      <c r="X7" s="608"/>
    </row>
    <row r="8" spans="1:24" ht="22.5" customHeight="1">
      <c r="A8" s="4"/>
      <c r="B8" s="594" t="s">
        <v>225</v>
      </c>
      <c r="C8" s="594"/>
      <c r="D8" s="595"/>
      <c r="E8" s="595"/>
      <c r="F8" s="605" t="s">
        <v>260</v>
      </c>
      <c r="G8" s="566"/>
      <c r="H8" s="566"/>
      <c r="I8" s="566"/>
      <c r="J8" s="566"/>
      <c r="K8" s="566"/>
      <c r="L8" s="566"/>
      <c r="M8" s="7"/>
      <c r="N8" s="7"/>
      <c r="O8" s="27"/>
      <c r="P8" s="7"/>
      <c r="Q8" s="7"/>
      <c r="R8" s="27"/>
      <c r="T8" s="1" t="s">
        <v>226</v>
      </c>
      <c r="U8" s="37"/>
      <c r="X8" s="35"/>
    </row>
    <row r="9" spans="1:24" ht="22.5" customHeight="1">
      <c r="A9" s="10"/>
      <c r="B9" s="9"/>
      <c r="C9" s="9"/>
      <c r="D9" s="9"/>
      <c r="E9" s="9"/>
      <c r="F9" s="9"/>
      <c r="G9" s="9"/>
      <c r="H9" s="9"/>
      <c r="I9" s="9"/>
      <c r="X9" s="35"/>
    </row>
    <row r="10" spans="1:24" ht="22.5" customHeight="1">
      <c r="A10" s="10" t="s">
        <v>227</v>
      </c>
      <c r="B10" s="9"/>
      <c r="C10" s="9"/>
      <c r="D10" s="9"/>
      <c r="E10" s="9"/>
      <c r="F10" s="9"/>
      <c r="G10" s="9"/>
      <c r="H10" s="9"/>
      <c r="I10" s="9"/>
      <c r="X10" s="35"/>
    </row>
    <row r="11" spans="1:24" ht="22.5" customHeight="1">
      <c r="A11" s="10" t="s">
        <v>228</v>
      </c>
      <c r="B11" s="9"/>
      <c r="C11" s="9"/>
      <c r="D11" s="9"/>
      <c r="E11" s="9"/>
      <c r="F11" s="9"/>
      <c r="G11" s="9"/>
      <c r="H11" s="9"/>
      <c r="I11" s="9"/>
      <c r="X11" s="35"/>
    </row>
    <row r="12" spans="1:24" ht="11.25" customHeight="1">
      <c r="A12" s="10"/>
      <c r="B12" s="9"/>
      <c r="C12" s="9"/>
      <c r="D12" s="9"/>
      <c r="E12" s="9"/>
      <c r="F12" s="9"/>
      <c r="G12" s="9"/>
      <c r="H12" s="9"/>
      <c r="I12" s="9"/>
      <c r="L12" s="28"/>
      <c r="X12" s="35"/>
    </row>
    <row r="13" spans="1:24" ht="22.5" customHeight="1">
      <c r="A13" s="11" t="s">
        <v>229</v>
      </c>
      <c r="X13" s="35"/>
    </row>
    <row r="14" spans="1:24" ht="22.5" customHeight="1">
      <c r="A14" s="578" t="s">
        <v>259</v>
      </c>
      <c r="B14" s="578"/>
      <c r="C14" s="578"/>
      <c r="D14" s="578"/>
      <c r="E14" s="578"/>
      <c r="F14" s="578"/>
      <c r="G14" s="578"/>
      <c r="H14" s="578"/>
      <c r="I14" s="578"/>
      <c r="J14" s="578"/>
      <c r="K14" s="578"/>
      <c r="L14" s="578"/>
      <c r="M14" s="578"/>
      <c r="N14" s="578"/>
      <c r="O14" s="578"/>
      <c r="P14" s="578"/>
      <c r="Q14" s="578"/>
      <c r="R14" s="578"/>
      <c r="S14" s="578"/>
      <c r="T14" s="578"/>
      <c r="U14" s="578"/>
      <c r="V14" s="578"/>
      <c r="W14" s="578"/>
      <c r="X14" s="35"/>
    </row>
    <row r="15" spans="1:24" ht="22.5" customHeight="1">
      <c r="A15" s="599" t="s">
        <v>256</v>
      </c>
      <c r="B15" s="578"/>
      <c r="C15" s="578"/>
      <c r="D15" s="578"/>
      <c r="E15" s="578"/>
      <c r="F15" s="578"/>
      <c r="G15" s="578"/>
      <c r="H15" s="578"/>
      <c r="I15" s="578"/>
      <c r="J15" s="578"/>
      <c r="K15" s="578"/>
      <c r="L15" s="578"/>
      <c r="M15" s="578"/>
      <c r="N15" s="578"/>
      <c r="O15" s="578"/>
      <c r="P15" s="578"/>
      <c r="Q15" s="578"/>
      <c r="R15" s="578"/>
      <c r="S15" s="578"/>
      <c r="T15" s="578"/>
      <c r="U15" s="578"/>
      <c r="V15" s="578"/>
      <c r="W15" s="578"/>
      <c r="X15" s="35"/>
    </row>
    <row r="16" spans="1:24" ht="22.5" customHeight="1">
      <c r="A16" s="599" t="s">
        <v>257</v>
      </c>
      <c r="B16" s="578"/>
      <c r="C16" s="578"/>
      <c r="D16" s="578"/>
      <c r="E16" s="578"/>
      <c r="F16" s="578"/>
      <c r="G16" s="578"/>
      <c r="H16" s="578"/>
      <c r="I16" s="578"/>
      <c r="J16" s="578"/>
      <c r="K16" s="578"/>
      <c r="L16" s="578"/>
      <c r="M16" s="578"/>
      <c r="N16" s="578"/>
      <c r="O16" s="578"/>
      <c r="P16" s="578"/>
      <c r="Q16" s="578"/>
      <c r="R16" s="578"/>
      <c r="S16" s="578"/>
      <c r="T16" s="578"/>
      <c r="U16" s="578"/>
      <c r="V16" s="578"/>
      <c r="W16" s="578"/>
      <c r="X16" s="35"/>
    </row>
    <row r="17" spans="1:24" ht="22.5" customHeight="1">
      <c r="A17" s="10"/>
      <c r="B17" s="9"/>
      <c r="C17" s="9"/>
      <c r="D17" s="9"/>
      <c r="E17" s="9"/>
      <c r="F17" s="9"/>
      <c r="G17" s="9"/>
      <c r="H17" s="9"/>
      <c r="I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35"/>
    </row>
    <row r="18" spans="1:24" ht="22.5" customHeight="1">
      <c r="A18" s="11" t="s">
        <v>230</v>
      </c>
      <c r="E18" s="9"/>
      <c r="F18" s="9"/>
      <c r="G18" s="9"/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35"/>
    </row>
    <row r="19" spans="1:24" ht="22.5" customHeight="1">
      <c r="A19" s="4" t="s">
        <v>231</v>
      </c>
      <c r="E19" s="9"/>
      <c r="F19" s="9"/>
      <c r="G19" s="9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35"/>
    </row>
    <row r="20" spans="1:24" ht="22.5" customHeight="1">
      <c r="A20" s="4" t="s">
        <v>232</v>
      </c>
      <c r="E20" s="9"/>
      <c r="F20" s="9"/>
      <c r="G20" s="9"/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35"/>
    </row>
    <row r="21" spans="1:24" ht="22.5" customHeight="1">
      <c r="A21" s="11"/>
      <c r="E21" s="9"/>
      <c r="F21" s="9"/>
      <c r="G21" s="9"/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35"/>
    </row>
    <row r="22" spans="1:24" ht="37.5" customHeight="1">
      <c r="A22" s="4"/>
      <c r="B22" s="13">
        <v>-1</v>
      </c>
      <c r="C22" s="596" t="s">
        <v>233</v>
      </c>
      <c r="D22" s="596"/>
      <c r="E22" s="596"/>
      <c r="F22" s="9"/>
      <c r="G22" s="9"/>
      <c r="H22" s="9"/>
      <c r="I22" s="9"/>
      <c r="J22" s="30" t="s">
        <v>234</v>
      </c>
      <c r="K22" s="8"/>
      <c r="L22" s="597">
        <v>800000</v>
      </c>
      <c r="M22" s="598"/>
      <c r="N22" s="598"/>
      <c r="O22" s="8"/>
      <c r="P22" s="8"/>
      <c r="Q22" s="38"/>
      <c r="R22" s="8"/>
      <c r="S22" s="7"/>
      <c r="X22" s="35"/>
    </row>
    <row r="23" spans="1:24" ht="37.5" customHeight="1">
      <c r="A23" s="4"/>
      <c r="B23" s="13">
        <v>-2</v>
      </c>
      <c r="C23" s="14" t="s">
        <v>235</v>
      </c>
      <c r="D23" s="14"/>
      <c r="E23" s="14"/>
      <c r="J23" s="30" t="s">
        <v>234</v>
      </c>
      <c r="K23" s="23"/>
      <c r="L23" s="23"/>
      <c r="M23" s="23"/>
      <c r="N23" s="23"/>
      <c r="O23" s="23"/>
      <c r="P23" s="23"/>
      <c r="Q23" s="39"/>
      <c r="R23" s="23"/>
      <c r="S23" s="31"/>
      <c r="X23" s="35"/>
    </row>
    <row r="24" spans="1:24" ht="22.5" customHeight="1">
      <c r="A24" s="4"/>
      <c r="B24" s="13">
        <v>-3</v>
      </c>
      <c r="C24" s="596" t="s">
        <v>236</v>
      </c>
      <c r="D24" s="596"/>
      <c r="E24" s="596"/>
      <c r="F24" s="15" t="s">
        <v>237</v>
      </c>
      <c r="G24" s="16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X24" s="35"/>
    </row>
    <row r="25" spans="1:24" ht="22.5" customHeight="1">
      <c r="A25" s="4"/>
      <c r="B25" s="17"/>
      <c r="C25" s="18"/>
      <c r="D25" s="18"/>
      <c r="E25" s="18"/>
      <c r="F25" s="19"/>
      <c r="G25" s="20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29"/>
      <c r="T25" s="29"/>
      <c r="U25" s="29"/>
      <c r="V25" s="29"/>
      <c r="W25" s="29"/>
      <c r="X25" s="35"/>
    </row>
    <row r="26" spans="1:24" ht="22.5" customHeight="1">
      <c r="A26" s="4"/>
      <c r="B26" s="17"/>
      <c r="C26" s="18"/>
      <c r="D26" s="18"/>
      <c r="E26" s="18"/>
      <c r="F26" s="19"/>
      <c r="G26" s="20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9"/>
      <c r="T26" s="29"/>
      <c r="U26" s="29"/>
      <c r="V26" s="29"/>
      <c r="W26" s="40"/>
      <c r="X26" s="35"/>
    </row>
    <row r="27" spans="1:24" ht="22.5" customHeight="1">
      <c r="A27" s="4"/>
      <c r="B27" s="17"/>
      <c r="C27" s="18"/>
      <c r="D27" s="18"/>
      <c r="E27" s="18"/>
      <c r="F27" s="19"/>
      <c r="G27" s="20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9"/>
      <c r="T27" s="29"/>
      <c r="U27" s="29"/>
      <c r="V27" s="29"/>
      <c r="W27" s="40"/>
      <c r="X27" s="35"/>
    </row>
    <row r="28" spans="1:24" ht="22.5" customHeight="1">
      <c r="A28" s="4"/>
      <c r="B28" s="17"/>
      <c r="C28" s="18"/>
      <c r="D28" s="18"/>
      <c r="E28" s="18"/>
      <c r="F28" s="19"/>
      <c r="G28" s="20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9"/>
      <c r="T28" s="29"/>
      <c r="U28" s="29"/>
      <c r="V28" s="29"/>
      <c r="W28" s="40"/>
      <c r="X28" s="35"/>
    </row>
    <row r="29" spans="1:24" ht="22.5" customHeight="1">
      <c r="A29" s="4"/>
      <c r="Q29" s="602" t="s">
        <v>258</v>
      </c>
      <c r="R29" s="603"/>
      <c r="S29" s="603"/>
      <c r="T29" s="603"/>
      <c r="U29" s="603"/>
      <c r="V29" s="603"/>
      <c r="W29" s="603"/>
      <c r="X29" s="36"/>
    </row>
    <row r="30" spans="1:24" ht="30" customHeight="1">
      <c r="A30" s="11" t="s">
        <v>238</v>
      </c>
      <c r="B30" s="21"/>
      <c r="C30" s="21"/>
      <c r="D30" s="9"/>
      <c r="E30" s="604" t="s">
        <v>79</v>
      </c>
      <c r="F30" s="604"/>
      <c r="G30" s="604"/>
      <c r="H30" s="609" t="s">
        <v>262</v>
      </c>
      <c r="I30" s="578"/>
      <c r="J30" s="578"/>
      <c r="K30" s="578"/>
      <c r="L30" s="578"/>
      <c r="M30" s="578"/>
      <c r="N30" s="578"/>
      <c r="O30" s="578"/>
      <c r="P30" s="578"/>
      <c r="Q30" s="578"/>
      <c r="R30" s="578"/>
      <c r="S30" s="578"/>
      <c r="T30" s="578"/>
      <c r="U30" s="578"/>
      <c r="V30" s="578"/>
      <c r="W30" s="578"/>
      <c r="X30" s="610"/>
    </row>
    <row r="31" spans="1:24" ht="30" customHeight="1">
      <c r="A31" s="4"/>
      <c r="B31" s="9"/>
      <c r="C31" s="9"/>
      <c r="D31" s="9"/>
      <c r="E31" s="22" t="s">
        <v>239</v>
      </c>
      <c r="F31" s="22"/>
      <c r="G31" s="22"/>
      <c r="H31" s="22"/>
      <c r="I31" s="600" t="s">
        <v>263</v>
      </c>
      <c r="J31" s="601"/>
      <c r="K31" s="601"/>
      <c r="L31" s="601"/>
      <c r="M31" s="601"/>
      <c r="N31" s="601"/>
      <c r="O31" s="601"/>
      <c r="P31" s="601"/>
      <c r="Q31" s="601"/>
      <c r="R31" s="601"/>
      <c r="S31" s="601"/>
      <c r="T31" s="31"/>
      <c r="U31" s="31"/>
      <c r="V31" s="31"/>
      <c r="W31" s="31"/>
      <c r="X31" s="35"/>
    </row>
    <row r="32" spans="1:24" ht="30" customHeight="1">
      <c r="A32" s="4"/>
      <c r="B32" s="9"/>
      <c r="C32" s="9"/>
      <c r="D32" s="9"/>
      <c r="E32" s="22" t="s">
        <v>240</v>
      </c>
      <c r="F32" s="22"/>
      <c r="G32" s="22"/>
      <c r="H32" s="23"/>
      <c r="I32" s="23"/>
      <c r="J32" s="31"/>
      <c r="K32" s="31"/>
      <c r="L32" s="31" t="s">
        <v>264</v>
      </c>
      <c r="M32" s="31"/>
      <c r="N32" s="31"/>
      <c r="O32" s="31"/>
      <c r="P32" s="31"/>
      <c r="Q32" s="31"/>
      <c r="R32" s="31"/>
      <c r="S32" s="31"/>
      <c r="T32" s="41"/>
      <c r="U32" s="31"/>
      <c r="V32" s="31"/>
      <c r="W32" s="31"/>
      <c r="X32" s="35"/>
    </row>
    <row r="33" spans="1:24" ht="30" customHeight="1">
      <c r="A33" s="4"/>
      <c r="B33" s="9"/>
      <c r="C33" s="9"/>
      <c r="D33" s="9"/>
      <c r="E33" s="22" t="s">
        <v>133</v>
      </c>
      <c r="F33" s="22"/>
      <c r="G33" s="22"/>
      <c r="H33" s="23"/>
      <c r="I33" s="23"/>
      <c r="J33" s="31"/>
      <c r="K33" s="31"/>
      <c r="L33" s="31" t="s">
        <v>254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5"/>
    </row>
    <row r="34" spans="1:24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42"/>
    </row>
  </sheetData>
  <mergeCells count="15">
    <mergeCell ref="I31:S31"/>
    <mergeCell ref="Q29:W29"/>
    <mergeCell ref="E30:G30"/>
    <mergeCell ref="F8:L8"/>
    <mergeCell ref="B7:J7"/>
    <mergeCell ref="Q7:X7"/>
    <mergeCell ref="H30:X30"/>
    <mergeCell ref="A2:X2"/>
    <mergeCell ref="B8:E8"/>
    <mergeCell ref="C22:E22"/>
    <mergeCell ref="L22:N22"/>
    <mergeCell ref="C24:E24"/>
    <mergeCell ref="A14:W14"/>
    <mergeCell ref="A15:W15"/>
    <mergeCell ref="A16:W16"/>
  </mergeCells>
  <pageMargins left="0.59027777777777801" right="0.196527777777778" top="0.78680555555555598" bottom="0.59027777777777801" header="0.51180555555555596" footer="0.511805555555555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</vt:lpstr>
      <vt:lpstr>reason</vt:lpstr>
      <vt:lpstr>app. form example</vt:lpstr>
      <vt:lpstr>fee</vt:lpstr>
      <vt:lpstr>regular plan</vt:lpstr>
      <vt:lpstr>installment plan</vt:lpstr>
      <vt:lpstr>app. form</vt:lpstr>
      <vt:lpstr>sponsor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ｾｲｺｰ学院</dc:creator>
  <cp:lastModifiedBy>Pc</cp:lastModifiedBy>
  <cp:lastPrinted>2023-06-01T01:48:00Z</cp:lastPrinted>
  <dcterms:created xsi:type="dcterms:W3CDTF">2008-02-18T07:11:00Z</dcterms:created>
  <dcterms:modified xsi:type="dcterms:W3CDTF">2026-04-02T03:42:05Z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1041-12.2.0.19805</vt:lpwstr>
  </property>
  <property fmtid="{D5CDD505-2E9C-101B-9397-08002B2CF9AE}" pid="3" name="ICV">
    <vt:lpwstr>42CF3F40F6AD49B2953CC27EE6359A29_12</vt:lpwstr>
  </property>
</Properties>
</file>